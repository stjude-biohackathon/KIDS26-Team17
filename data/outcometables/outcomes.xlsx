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.stjude.sjcrh.local\common\PSY\Data Science\BioHackathon26\For GitHub\"/>
    </mc:Choice>
  </mc:AlternateContent>
  <xr:revisionPtr revIDLastSave="0" documentId="13_ncr:1_{AAF21908-D0F9-48E7-A37C-CCB45963DE7E}" xr6:coauthVersionLast="47" xr6:coauthVersionMax="47" xr10:uidLastSave="{00000000-0000-0000-0000-000000000000}"/>
  <bookViews>
    <workbookView xWindow="-110" yWindow="-110" windowWidth="19420" windowHeight="10300" activeTab="5" xr2:uid="{E4EAF108-0E48-43D1-8C9E-F36F233A9212}"/>
  </bookViews>
  <sheets>
    <sheet name="GreenSpace" sheetId="9" r:id="rId1"/>
    <sheet name="Pollution" sheetId="1" r:id="rId2"/>
    <sheet name="COI" sheetId="7" r:id="rId3"/>
    <sheet name="Population" sheetId="8" r:id="rId4"/>
    <sheet name="Gender" sheetId="5" r:id="rId5"/>
    <sheet name="Agegrp (2)" sheetId="10" r:id="rId6"/>
    <sheet name="AgeGrp" sheetId="6" r:id="rId7"/>
    <sheet name="Data Dict" sheetId="3" r:id="rId8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3" i="3" l="1"/>
  <c r="H44" i="3"/>
  <c r="H45" i="3"/>
  <c r="F45" i="3" s="1"/>
  <c r="H46" i="3"/>
  <c r="H47" i="3"/>
  <c r="F47" i="3" s="1"/>
  <c r="H48" i="3"/>
  <c r="H49" i="3"/>
  <c r="H50" i="3"/>
  <c r="H51" i="3"/>
  <c r="H52" i="3"/>
  <c r="H53" i="3"/>
  <c r="H54" i="3"/>
  <c r="F54" i="3" s="1"/>
  <c r="H55" i="3"/>
  <c r="F55" i="3" s="1"/>
  <c r="H42" i="3"/>
  <c r="F39" i="3"/>
  <c r="F40" i="3"/>
  <c r="F41" i="3"/>
  <c r="F42" i="3"/>
  <c r="F43" i="3"/>
  <c r="F44" i="3"/>
  <c r="F46" i="3"/>
  <c r="F48" i="3"/>
  <c r="F49" i="3"/>
  <c r="F50" i="3"/>
  <c r="F51" i="3"/>
  <c r="F52" i="3"/>
  <c r="F53" i="3"/>
  <c r="F38" i="3"/>
</calcChain>
</file>

<file path=xl/sharedStrings.xml><?xml version="1.0" encoding="utf-8"?>
<sst xmlns="http://schemas.openxmlformats.org/spreadsheetml/2006/main" count="1164" uniqueCount="434">
  <si>
    <t>ptPROMIS_combAnxTsc</t>
  </si>
  <si>
    <t>ptPROMIS_combDepTsc</t>
  </si>
  <si>
    <t>ptPROMIS_combPhyTsc</t>
  </si>
  <si>
    <t>ptPROMIS_combPInTsc</t>
  </si>
  <si>
    <t>ptMSPSS_sumScore</t>
  </si>
  <si>
    <t>ptMSPSS_sigothSum</t>
  </si>
  <si>
    <t>ptMSPSS_familySum</t>
  </si>
  <si>
    <t>ptMSPSS_friendSum</t>
  </si>
  <si>
    <t>NLCD 23 Developed Urban 0.75 mile buffer</t>
  </si>
  <si>
    <t>NLCD 23 Developed Green 0.75 mile buffer</t>
  </si>
  <si>
    <t>NLCD 23 Forest 0.75 mile buffer</t>
  </si>
  <si>
    <t>NLCD 23 Crops 0.75 mile buffer</t>
  </si>
  <si>
    <t>NLCD 23 Other Vegetation 0.75 mile buffer</t>
  </si>
  <si>
    <t>NLCD 23 Wetlands 0.75 mile buffer</t>
  </si>
  <si>
    <t>PM2.5 pollution annual average 0.75 mile buffer</t>
  </si>
  <si>
    <t>PM2.5 pollution annual average 2 mile buffer</t>
  </si>
  <si>
    <t>SO2 pollution annual average 0.75 mile buffer</t>
  </si>
  <si>
    <t>SO2 pollution annual average 2 mile buffer</t>
  </si>
  <si>
    <t>NO2 pollution annual average 0.75 mile buffer</t>
  </si>
  <si>
    <t>NO2 pollution annual average 2 mile buffer</t>
  </si>
  <si>
    <t>CO pollution annual average daily 1 hour 0.75 mile buffer</t>
  </si>
  <si>
    <t>CO pollution annual average daily 1 hour 2 mile buffer</t>
  </si>
  <si>
    <t>CO pollution annual average daily 8 hours 0.75 mile buffer</t>
  </si>
  <si>
    <t>CO pollution annual average daily 8 hours 2 mile buffer</t>
  </si>
  <si>
    <t>Noise_Pollution</t>
  </si>
  <si>
    <t>AQI Air Quality Index 2023 by CBSA (Core-Based Statistical Areas)</t>
  </si>
  <si>
    <t>2020 Rural-Urban Commuting Area census tract</t>
  </si>
  <si>
    <t>Anxiety</t>
  </si>
  <si>
    <t>r</t>
  </si>
  <si>
    <t>p</t>
  </si>
  <si>
    <t>Depression</t>
  </si>
  <si>
    <t>Physical</t>
  </si>
  <si>
    <t>Pain Intensity</t>
  </si>
  <si>
    <t>PROMIS measures</t>
  </si>
  <si>
    <t>Total</t>
  </si>
  <si>
    <t>Significant Other</t>
  </si>
  <si>
    <t>Family</t>
  </si>
  <si>
    <t>Friends</t>
  </si>
  <si>
    <t>MSPSS</t>
  </si>
  <si>
    <t>NLCD 23</t>
  </si>
  <si>
    <t>Developed Urban 0.75 mil</t>
  </si>
  <si>
    <t>Developed Green 0.75 mil</t>
  </si>
  <si>
    <t>Forest 0.75 mile buffer</t>
  </si>
  <si>
    <t>Crops 0.75 mile buffer</t>
  </si>
  <si>
    <t>Other Vegetation 0.75 mi</t>
  </si>
  <si>
    <t>Wetlands 0.75 mile buffe</t>
  </si>
  <si>
    <t>Pollution 0.75 mile buffer</t>
  </si>
  <si>
    <t>Child_O_Index1</t>
  </si>
  <si>
    <t>Child_O_Index2</t>
  </si>
  <si>
    <t>Child_O_Index3</t>
  </si>
  <si>
    <t>Child_O_Index4</t>
  </si>
  <si>
    <t>Child_O_Index5</t>
  </si>
  <si>
    <t>Child_O_Index6</t>
  </si>
  <si>
    <t>Child_O_Index7</t>
  </si>
  <si>
    <t>Child_O_Index8</t>
  </si>
  <si>
    <t>Child_O_Index9</t>
  </si>
  <si>
    <t>Child_O_Index10</t>
  </si>
  <si>
    <t>Child_O_Index11</t>
  </si>
  <si>
    <t>Child_O_Index12</t>
  </si>
  <si>
    <t>Child_O_Index13</t>
  </si>
  <si>
    <t>Child_O_Index14</t>
  </si>
  <si>
    <t>Child_O_Index15</t>
  </si>
  <si>
    <t>Child_O_Index16</t>
  </si>
  <si>
    <t>Child_O_Index17</t>
  </si>
  <si>
    <t>Child_O_Index18</t>
  </si>
  <si>
    <t>Pollution 2.00 mile buffer</t>
  </si>
  <si>
    <t>Other Pollution variables</t>
  </si>
  <si>
    <t>PM2.5 pollution annual average</t>
  </si>
  <si>
    <t>SO2 pollution annual average</t>
  </si>
  <si>
    <t>NO2 pollution annual average</t>
  </si>
  <si>
    <t>CO pollution annual average daily 1 hour</t>
  </si>
  <si>
    <t>CO pollution annual average daily 8 hours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</si>
  <si>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</si>
  <si>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</si>
  <si>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</si>
  <si>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</si>
  <si>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</si>
  <si>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</si>
  <si>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</si>
  <si>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</si>
  <si>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</si>
  <si>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Var11</t>
  </si>
  <si>
    <t>Var13</t>
  </si>
  <si>
    <t>Var15</t>
  </si>
  <si>
    <t>Var17</t>
  </si>
  <si>
    <t>Var19</t>
  </si>
  <si>
    <t>Var21</t>
  </si>
  <si>
    <t>Var35</t>
  </si>
  <si>
    <t>Var37</t>
  </si>
  <si>
    <t>Var39</t>
  </si>
  <si>
    <t>Var40</t>
  </si>
  <si>
    <t>Var42</t>
  </si>
  <si>
    <t>Var44</t>
  </si>
  <si>
    <t>Var46</t>
  </si>
  <si>
    <t>Var58</t>
  </si>
  <si>
    <t>Var61</t>
  </si>
  <si>
    <t>Var62</t>
  </si>
  <si>
    <t>Var63</t>
  </si>
  <si>
    <t>Var64</t>
  </si>
  <si>
    <t>Var65</t>
  </si>
  <si>
    <t>Var66</t>
  </si>
  <si>
    <t>Var68</t>
  </si>
  <si>
    <t>Sr. No.</t>
  </si>
  <si>
    <t>SAS Analysis Variable</t>
  </si>
  <si>
    <t>Merged Data Variables</t>
  </si>
  <si>
    <t>ptPROMIS_combFatTsc</t>
  </si>
  <si>
    <t>Outcome Variables</t>
  </si>
  <si>
    <t>ptAge</t>
  </si>
  <si>
    <t>ptAge4grp</t>
  </si>
  <si>
    <t>ptRace</t>
  </si>
  <si>
    <t>ptEthnicity</t>
  </si>
  <si>
    <t>ptEdu</t>
  </si>
  <si>
    <t>ptGenderID</t>
  </si>
  <si>
    <t>ptEmploy</t>
  </si>
  <si>
    <t>ptFinancial</t>
  </si>
  <si>
    <t xml:space="preserve">'NLCD 23 Developed Urban 0.75 mil'n </t>
  </si>
  <si>
    <t>Factor Variables 1</t>
  </si>
  <si>
    <t xml:space="preserve">'NLCD 23 Developed Green 0.75 mil'n </t>
  </si>
  <si>
    <t xml:space="preserve">'NLCD 23 Forest 0.75 mile buffer'n </t>
  </si>
  <si>
    <t xml:space="preserve">'NLCD 23 Crops 0.75 mile buffer'n </t>
  </si>
  <si>
    <t xml:space="preserve">'NLCD 23 Other Vegetation 0.75 mi'n </t>
  </si>
  <si>
    <t>'NLCD 23 Wetlands 0.75 mile buffe'n</t>
  </si>
  <si>
    <t xml:space="preserve">'PM2.5 pollution annual average 0'n </t>
  </si>
  <si>
    <t xml:space="preserve">'PM2.5 pollution annual average 2'n </t>
  </si>
  <si>
    <t>'SO2 pollution annual average 0.7'n</t>
  </si>
  <si>
    <t xml:space="preserve">'SO2 pollution annual average 2 m'n </t>
  </si>
  <si>
    <t xml:space="preserve">'NO2 pollution annual average 0.7'n </t>
  </si>
  <si>
    <t xml:space="preserve">'NO2 pollution annual average 2 m'n </t>
  </si>
  <si>
    <t xml:space="preserve">'CO pollution annual average dail'n </t>
  </si>
  <si>
    <t xml:space="preserve">'CO pollution annual average dai1'n </t>
  </si>
  <si>
    <t>'CO pollution annual average dai2'n</t>
  </si>
  <si>
    <t xml:space="preserve">'CO pollution annual average dai3'n </t>
  </si>
  <si>
    <t xml:space="preserve">'AQI Air Quality Index 2023 by CB'n </t>
  </si>
  <si>
    <t>Noise_Pollution Annual Average 2020 0.75 mile buffer</t>
  </si>
  <si>
    <t>2020 Rural-Urban Commuting Area census tract'n</t>
  </si>
  <si>
    <t>Nationally normed Child Opportunity Index Scores (from 1 to 100) for the Child Opportunity Index 2023 census tract</t>
  </si>
  <si>
    <t>Factor Variables 2</t>
  </si>
  <si>
    <t>Nationally normed Child Opportunity Scores (from 1 to 100) for the education domain 2023 census tract</t>
  </si>
  <si>
    <t>Nationally normed Child Opportunity Index Scores (from 1 to 100) for the health and environment domain 2023 census tract</t>
  </si>
  <si>
    <t>Nationally normed Child Opportunity Index Scores (from 1 to 100) for the social and economic domain 2023 census tract</t>
  </si>
  <si>
    <t>Nationally normed Child Opportunity Scores (from 1 to 100) for the early childhood education subdomain 2023 census tract</t>
  </si>
  <si>
    <t>Nationally normed Child Opportunity Scores (from 1 to 100) for the elementary education subdomain 2023 census tract</t>
  </si>
  <si>
    <t>Nationally normed Child Opportunity Scores (from 1 to 100) for the educational resources subdomain 2023 census tract</t>
  </si>
  <si>
    <t>Nationally normed Child Opportunity Scores (from 1 to 100) for the secondary and post-secondary education subdomain 2023 census tract</t>
  </si>
  <si>
    <t>Nationally normed Child Opportunity Scores (from 1 to 100) for the pollution subdomain 2023 census tract</t>
  </si>
  <si>
    <t>Nationally normed Child Opportunity Scores (from 1 to 100) for the health resources subdomain 2023 census tract</t>
  </si>
  <si>
    <t>Nationally normed Child Opportunity Scores (from 1 to 100) for the safety-related resources subdomain 2023 census tract</t>
  </si>
  <si>
    <t>Nationally normed Child Opportunity Scores (from 1 to 100) for the healthy environments subdomain 2023 census tract</t>
  </si>
  <si>
    <t>Nationally normed Child Opportunity Scores (from 1 to 100) for the concentrated socio-economic inequity subdomain 2023 census tract</t>
  </si>
  <si>
    <t>Nationally normed Child Opportunity Scores (from 1 to 100) for the employment subdomain 2023 census tract</t>
  </si>
  <si>
    <t>Nationally normed Child Opportunity Scores (from 1 to 100) for the economic resources subdomain 2023 census tract</t>
  </si>
  <si>
    <t>Nationally normed Child Opportunity Scores (from 1 to 100) for the housing resources subdomain 2023 census tract</t>
  </si>
  <si>
    <t>Nationally normed Child Opportunity Scores (from 1 to 100) for the social resources subdomain 2023 census tract</t>
  </si>
  <si>
    <t>Nationally normed Child Opportunity Scores (from 1 to 100) for the wealth subdomain 2023 census tract</t>
  </si>
  <si>
    <t>bufferUnit</t>
  </si>
  <si>
    <t>bufferRadii</t>
  </si>
  <si>
    <t>2025 Total Population</t>
  </si>
  <si>
    <t>Factor Variables 3</t>
  </si>
  <si>
    <t>2025 Population Density</t>
  </si>
  <si>
    <t>2020 Total Population</t>
  </si>
  <si>
    <t>2023 Household Population (ACS 5-Yr)</t>
  </si>
  <si>
    <t>2023 HHs w/Internet (ACS 5-Yr)</t>
  </si>
  <si>
    <t>2023 HHs w/Internet (ACS 5-Yr): Percent</t>
  </si>
  <si>
    <t>2025 Housing Affordability Index</t>
  </si>
  <si>
    <t>2025 Pct of Income for Mortgage</t>
  </si>
  <si>
    <t>2025 Total Households</t>
  </si>
  <si>
    <t>Var10</t>
  </si>
  <si>
    <t>2025 Health Services - Businesses (SIC)</t>
  </si>
  <si>
    <t>Factor Variables 4</t>
  </si>
  <si>
    <t>2025 Health Services - Businesses (SIC): Percent</t>
  </si>
  <si>
    <t>Var12</t>
  </si>
  <si>
    <t>2025 Dental Services</t>
  </si>
  <si>
    <t>2025 Dental Services: Average</t>
  </si>
  <si>
    <t>Var14</t>
  </si>
  <si>
    <t>2025 Have Internet Access at Home</t>
  </si>
  <si>
    <t>2025 Have Internet Access at Home: Percent</t>
  </si>
  <si>
    <t>Var16</t>
  </si>
  <si>
    <t>2025 Have Savings Account</t>
  </si>
  <si>
    <t>2025 Have Savings Account: Percent</t>
  </si>
  <si>
    <t>Var18</t>
  </si>
  <si>
    <t>2025 Have a Garden</t>
  </si>
  <si>
    <t>2025 Have a Garden: Percent</t>
  </si>
  <si>
    <t>Var20</t>
  </si>
  <si>
    <t>2025 HH Owns Any Pet</t>
  </si>
  <si>
    <t>2025 HH Owns Any Pet: Percent</t>
  </si>
  <si>
    <t>Var22</t>
  </si>
  <si>
    <t>2025 HH Owns 1+ Cats</t>
  </si>
  <si>
    <t>Var23</t>
  </si>
  <si>
    <t>2025 HH Owns 1+ Cats: Percent</t>
  </si>
  <si>
    <t>Var24</t>
  </si>
  <si>
    <t>2025 HH Owns 1 Cat</t>
  </si>
  <si>
    <t>Var25</t>
  </si>
  <si>
    <t>2025 HH Owns 1 Cat: Percent</t>
  </si>
  <si>
    <t>Var26</t>
  </si>
  <si>
    <t>2025 HH Owns 2+ Cats</t>
  </si>
  <si>
    <t>Var27</t>
  </si>
  <si>
    <t>2025 HH Owns 2+ Cats: Percent</t>
  </si>
  <si>
    <t>Var28</t>
  </si>
  <si>
    <t>2025 HH Owns 1+ Dogs</t>
  </si>
  <si>
    <t>Var29</t>
  </si>
  <si>
    <t>2025 HH Owns 1+ Dogs: Percent</t>
  </si>
  <si>
    <t>Var30</t>
  </si>
  <si>
    <t>2025 HH Owns 1 Dog</t>
  </si>
  <si>
    <t>Var31</t>
  </si>
  <si>
    <t>2025 HH Owns 1 Dog: Percent</t>
  </si>
  <si>
    <t>Var32</t>
  </si>
  <si>
    <t>2025 HH Owns 2+ Dogs</t>
  </si>
  <si>
    <t>Var33</t>
  </si>
  <si>
    <t>2025 HH Owns 2+ Dogs: Percent</t>
  </si>
  <si>
    <t>Var34</t>
  </si>
  <si>
    <t>2025 Have Valid Driver License</t>
  </si>
  <si>
    <t>2025 Have Valid Driver License: Percent</t>
  </si>
  <si>
    <t>Var36</t>
  </si>
  <si>
    <t>2025 Have Valid Passport</t>
  </si>
  <si>
    <t>2025 Have Valid Passport: Percent</t>
  </si>
  <si>
    <t>Var38</t>
  </si>
  <si>
    <t>2025 More Environ Conscious Than Most: 4-Agr Cmpl</t>
  </si>
  <si>
    <t>Factor Variables 5</t>
  </si>
  <si>
    <t>2025 More Environ Conscious Than Most: 4-Agr Cmpl: Percent</t>
  </si>
  <si>
    <t>2023 Poverty Index (ACS 5-Yr)</t>
  </si>
  <si>
    <t>Var41</t>
  </si>
  <si>
    <t>2023 HHs: Inc Below Poverty Level (ACS 5-Yr)</t>
  </si>
  <si>
    <t>2023 HHs: Inc Below Poverty Level (ACS 5-Yr): Percent</t>
  </si>
  <si>
    <t>Var43</t>
  </si>
  <si>
    <t>2023 HHs w/Public Assist Income (ACS 5-Yr)</t>
  </si>
  <si>
    <t>2023 HHs w/Public Assist Income (ACS 5-Yr): Percent</t>
  </si>
  <si>
    <t>Var45</t>
  </si>
  <si>
    <t>2023 HHs w/Food Stamps/SNAP (ACS 5-Yr)</t>
  </si>
  <si>
    <t>2023 HHs w/Food Stamps/SNAP (ACS 5-Yr): Percent</t>
  </si>
  <si>
    <t>Var47</t>
  </si>
  <si>
    <t>2025 Dominant Tapestry Segment</t>
  </si>
  <si>
    <t>Var48</t>
  </si>
  <si>
    <t>2025 Dom Tapestry Segment Name</t>
  </si>
  <si>
    <t>Var49</t>
  </si>
  <si>
    <t>2025 Dominant LifeMode Grp Code</t>
  </si>
  <si>
    <t>Var50</t>
  </si>
  <si>
    <t>2025 Dominant LifeStage Grp Name</t>
  </si>
  <si>
    <t>Var51</t>
  </si>
  <si>
    <t>2025 Dominant LifeStage Grp Code</t>
  </si>
  <si>
    <t>Var52</t>
  </si>
  <si>
    <t>2025 HHs: LifeStage Group 1</t>
  </si>
  <si>
    <t>Var53</t>
  </si>
  <si>
    <t>2025 HHs: LifeStage Group 1: Percent</t>
  </si>
  <si>
    <t>Var54</t>
  </si>
  <si>
    <t>2025 HHs: LifeStage Group 2</t>
  </si>
  <si>
    <t>Var55</t>
  </si>
  <si>
    <t>2025 HHs: LifeStage Group 2: Percent</t>
  </si>
  <si>
    <t>Var56</t>
  </si>
  <si>
    <t>2025 HHs: LifeStage Group 3</t>
  </si>
  <si>
    <t>Var57</t>
  </si>
  <si>
    <t>2025 HHs: LifeStage Group 3: Percent</t>
  </si>
  <si>
    <t>2025 Average Household Income</t>
  </si>
  <si>
    <t>Factor Variables 6</t>
  </si>
  <si>
    <t>Var59</t>
  </si>
  <si>
    <t>Var60</t>
  </si>
  <si>
    <t>2025 Tapestry Household Base</t>
  </si>
  <si>
    <t>2025-2030 Growth Rate: Population</t>
  </si>
  <si>
    <t>2025 Per Capita Income</t>
  </si>
  <si>
    <t>2025 Average Home Value</t>
  </si>
  <si>
    <t>2025 Median Age</t>
  </si>
  <si>
    <t>2025 Total Housing Units</t>
  </si>
  <si>
    <t>Var67</t>
  </si>
  <si>
    <t>2025 Renter Occupied HUs</t>
  </si>
  <si>
    <t>2025 Renter Occupied HUs: Percent</t>
  </si>
  <si>
    <t>Child Opportunity Index</t>
  </si>
  <si>
    <t>Population</t>
  </si>
  <si>
    <t>from 1 to 100) for the Child Opportunity Index 2023 census tract</t>
  </si>
  <si>
    <t>from 1 to 100) for the education domain 2023 census tract</t>
  </si>
  <si>
    <t>from 1 to 100) for the health and environment domain 2023 census tract</t>
  </si>
  <si>
    <t>from 1 to 100) for the social and economic domain 2023 census tract</t>
  </si>
  <si>
    <t>COI</t>
  </si>
  <si>
    <t>Overall</t>
  </si>
  <si>
    <t>Education Domain</t>
  </si>
  <si>
    <t>Health &amp; Environment Domain'</t>
  </si>
  <si>
    <t>Social &amp; Economic Domain</t>
  </si>
  <si>
    <t>early childhood education subdomain</t>
  </si>
  <si>
    <t>elementary education subdomain</t>
  </si>
  <si>
    <t>educational resources subdomain</t>
  </si>
  <si>
    <t>secondary and post-secondary education subdomain</t>
  </si>
  <si>
    <t>pollution subdomain</t>
  </si>
  <si>
    <t>health resources subdomain</t>
  </si>
  <si>
    <t>safety-related resources subdomain</t>
  </si>
  <si>
    <t>healthy environments subdomain</t>
  </si>
  <si>
    <t>concentrated socio-economic inequity subdomain</t>
  </si>
  <si>
    <t>employment subdomain</t>
  </si>
  <si>
    <t>economic resources subdomain</t>
  </si>
  <si>
    <t>housing resources subdomain</t>
  </si>
  <si>
    <t>social resources subdomain</t>
  </si>
  <si>
    <t>wealth subdomain</t>
  </si>
  <si>
    <t>COI Overall 2023 CT</t>
  </si>
  <si>
    <t>COI Education Domain 2023 CT</t>
  </si>
  <si>
    <t>COI Health &amp; Environment Domain' 2023 CT</t>
  </si>
  <si>
    <t>COI Social &amp; Economic Domain 2023 CT</t>
  </si>
  <si>
    <t>COI Early Childhood Education Subdomain 2023 CT</t>
  </si>
  <si>
    <t>COI Elementary Education Subdomain 2023 CT</t>
  </si>
  <si>
    <t>COI Educational Resources Subdomain 2023 CT</t>
  </si>
  <si>
    <t>COI Secondary And Post-Secondary Education Subdomain 2023 CT</t>
  </si>
  <si>
    <t>COI Pollution Subdomain 2023 CT</t>
  </si>
  <si>
    <t>COI Health Resources Subdomain 2023 CT</t>
  </si>
  <si>
    <t>COI Safety-Related Resources Subdomain 2023 CT</t>
  </si>
  <si>
    <t>COI Concentrated Socio-Economic Inequity Subdomain 2023 CT</t>
  </si>
  <si>
    <t>COI Employment Subdomain 2023 CT</t>
  </si>
  <si>
    <t>COI Economic Resources Subdomain 2023 CT</t>
  </si>
  <si>
    <t>COI Housing Resources Subdomain 2023 CT</t>
  </si>
  <si>
    <t>COI Social Resources Subdomain 2023 CT</t>
  </si>
  <si>
    <t>COI Wealth Subdomain 2023 CT</t>
  </si>
  <si>
    <t>The ANOVA Procedure</t>
  </si>
  <si>
    <t>Class Level Information</t>
  </si>
  <si>
    <t>Class</t>
  </si>
  <si>
    <t>Levels</t>
  </si>
  <si>
    <t>Values</t>
  </si>
  <si>
    <t>1 2</t>
  </si>
  <si>
    <t>Number of Observations Read</t>
  </si>
  <si>
    <t>Number of Observations Used</t>
  </si>
  <si>
    <t>Dependent Variable: NLCD Proportion Classified Land NLCD Proportion Classified Land that is Green</t>
  </si>
  <si>
    <t>Source</t>
  </si>
  <si>
    <t>DF</t>
  </si>
  <si>
    <t>Sum of Squares</t>
  </si>
  <si>
    <t>Mean Square</t>
  </si>
  <si>
    <t>F Value</t>
  </si>
  <si>
    <t>Pr &gt; F</t>
  </si>
  <si>
    <t>Model</t>
  </si>
  <si>
    <t>Error</t>
  </si>
  <si>
    <t>Corrected Total</t>
  </si>
  <si>
    <t>R-Square</t>
  </si>
  <si>
    <t>Coeff Var</t>
  </si>
  <si>
    <t>Root MSE</t>
  </si>
  <si>
    <t>NLCD Proportion Classified Land Mean</t>
  </si>
  <si>
    <t>Anova SS</t>
  </si>
  <si>
    <t>Dependent Variable: COI Overall COI Overall</t>
  </si>
  <si>
    <t>COI Overall Mean</t>
  </si>
  <si>
    <t>Dependent Variable: COI Education COI Education</t>
  </si>
  <si>
    <t>COI Education Mean</t>
  </si>
  <si>
    <t>Dependent Variable: COI Health &amp; Environment COI Health &amp; Environment</t>
  </si>
  <si>
    <t>COI Health &amp; Environment Mean</t>
  </si>
  <si>
    <t>Dependent Variable: COI Social &amp; Economic COI Social &amp; Economic</t>
  </si>
  <si>
    <t>COI Social &amp; Economic Mean</t>
  </si>
  <si>
    <t>Dependent Variable: COI Early Childhood Education COI Early Childhood Education</t>
  </si>
  <si>
    <t>COI Early Childhood Education Mean</t>
  </si>
  <si>
    <t>Dependent Variable: COI Elementary Education COI Elementary Education</t>
  </si>
  <si>
    <t>COI Elementary Education Mean</t>
  </si>
  <si>
    <t>Dependent Variable: COI Educational Resources COI Educational Resources</t>
  </si>
  <si>
    <t>COI Educational Resources Mean</t>
  </si>
  <si>
    <t>Dependent Variable: COI Secondary And PostSec Educat COI Secondary And PostSec Education</t>
  </si>
  <si>
    <t>COI Secondary And PostSec Educat Mean</t>
  </si>
  <si>
    <t>Dependent Variable: COI Pollution COI Pollution</t>
  </si>
  <si>
    <t>COI Pollution Mean</t>
  </si>
  <si>
    <t>Dependent Variable: COI Health Resources COI Health Resources</t>
  </si>
  <si>
    <t>COI Health Resources Mean</t>
  </si>
  <si>
    <t>Dependent Variable: COI Safety-Related Resources COI Safety-Related Resources</t>
  </si>
  <si>
    <t>COI Safety-Related Resources Mean</t>
  </si>
  <si>
    <t>Dependent Variable: COI Healthy Environments COI Healthy Environments</t>
  </si>
  <si>
    <t>COI Healthy Environments Mean</t>
  </si>
  <si>
    <t>Dependent Variable: COI Concentrated Socio-Economic COI Concentrated Socio-Economic Inequity</t>
  </si>
  <si>
    <t>COI Concentrated Socio-Economic Mean</t>
  </si>
  <si>
    <t>Dependent Variable: COI Employment COI Employment</t>
  </si>
  <si>
    <t>COI Employment Mean</t>
  </si>
  <si>
    <t>Dependent Variable: COI Economic Resources COI Economic Resources</t>
  </si>
  <si>
    <t>COI Economic Resources Mean</t>
  </si>
  <si>
    <t>Dependent Variable: COI Housing Resources COI Housing Resources</t>
  </si>
  <si>
    <t>COI Housing Resources Mean</t>
  </si>
  <si>
    <t>Dependent Variable: COI Social Resources COI Social Resources</t>
  </si>
  <si>
    <t>COI Social Resources Mean</t>
  </si>
  <si>
    <t>Dependent Variable: COI Wealth COI Wealth</t>
  </si>
  <si>
    <t>COI Wealth Mean</t>
  </si>
  <si>
    <t>Dependent Variable: 2025 HH Owns Any Pet: Percent 2025 HH Owns Any Pet: Percent</t>
  </si>
  <si>
    <t>2025 HH Owns Any Pet: Percent Mean</t>
  </si>
  <si>
    <t>Dependent Variable: 2025 Per Capita Income 2025 Per Capita Income</t>
  </si>
  <si>
    <t>2025 Per Capita Income Mean</t>
  </si>
  <si>
    <t>Dependent Variable: 2025 Average Home Value 2025 Average Home Value</t>
  </si>
  <si>
    <t>2025 Average Home Value Mean</t>
  </si>
  <si>
    <t>Dependent Variable: 2025 Average Household Income 2025 Average Household Income</t>
  </si>
  <si>
    <t>2025 Average Household Income Mean</t>
  </si>
  <si>
    <t>Dependent Variable: 2025 Median Age 2025 Median Age</t>
  </si>
  <si>
    <t>2025 Median Age Mean</t>
  </si>
  <si>
    <t>Dependent Variable: 2025 Total Housing Units 2025 Total Housing Units</t>
  </si>
  <si>
    <t>2025 Total Housing Units Mean</t>
  </si>
  <si>
    <t>Dependent Variable: 2025 Renter Occupied HUs 2025 Renter Occupied HUs</t>
  </si>
  <si>
    <t>2025 Renter Occupied HUs Mean</t>
  </si>
  <si>
    <t>Dependent Variable: 2025 Renter Occupied HUs: Percen 2025 Renter Occupied HUs: Percent</t>
  </si>
  <si>
    <t>2025 Renter Occupied HUs: Percen Mean</t>
  </si>
  <si>
    <t>The FREQ Procedure</t>
  </si>
  <si>
    <t>Frequency</t>
  </si>
  <si>
    <t>Expected</t>
  </si>
  <si>
    <t>Percent</t>
  </si>
  <si>
    <t>Row Pct</t>
  </si>
  <si>
    <t>Col Pct</t>
  </si>
  <si>
    <t>TAPESTRY_FINAL_CODE(TAPESTRY_FINAL_CODE)</t>
  </si>
  <si>
    <t>Statistic</t>
  </si>
  <si>
    <t>Value</t>
  </si>
  <si>
    <t>Prob</t>
  </si>
  <si>
    <t>Chi-Square</t>
  </si>
  <si>
    <t>Likelihood Ratio Chi-Square</t>
  </si>
  <si>
    <t>Mantel-Haenszel Chi-Square</t>
  </si>
  <si>
    <t>Phi Coefficient</t>
  </si>
  <si>
    <t>Contingency Coefficient</t>
  </si>
  <si>
    <t>Cramer's V</t>
  </si>
  <si>
    <t>AgeGrp</t>
  </si>
  <si>
    <t>Table of AgeGrp by TAPESTRY_FINAL_CODE</t>
  </si>
  <si>
    <t>AgeGrp(AgeGrp)</t>
  </si>
  <si>
    <t>Statistics for Table of AgeGrp by TAPESTRY_FINAL_CODE</t>
  </si>
  <si>
    <t>Sample Size = 490</t>
  </si>
  <si>
    <t>COI Healthy environments Subdomain 2023 CT</t>
  </si>
  <si>
    <t>F</t>
  </si>
  <si>
    <t>NLCD Proportion Classified Land NLCD Proportion Classified Land that is Green</t>
  </si>
  <si>
    <t>COI Overall COI Overall</t>
  </si>
  <si>
    <t>COI Education COI Education</t>
  </si>
  <si>
    <t>COI Health &amp; Environment COI Health &amp; Environment</t>
  </si>
  <si>
    <t>COI Social &amp; Economic COI Social &amp; Economic</t>
  </si>
  <si>
    <t>COI Early Childhood Education COI Early Childhood Education</t>
  </si>
  <si>
    <t>COI Elementary Education COI Elementary Education</t>
  </si>
  <si>
    <t>COI Educational Resources COI Educational Resources</t>
  </si>
  <si>
    <t>COI Secondary And PostSec Educat COI Secondary And PostSec Education</t>
  </si>
  <si>
    <t>COI Pollution COI Pollution</t>
  </si>
  <si>
    <t>COI Health Resources COI Health Resources</t>
  </si>
  <si>
    <t>COI Safety-Related Resources COI Safety-Related Resources</t>
  </si>
  <si>
    <t>COI Healthy Environments COI Healthy Environments</t>
  </si>
  <si>
    <t>COI Concentrated Socio-Economic COI Concentrated Socio-Economic Inequity</t>
  </si>
  <si>
    <t>COI Employment COI Employment</t>
  </si>
  <si>
    <t>COI Economic Resources COI Economic Resources</t>
  </si>
  <si>
    <t>COI Housing Resources COI Housing Resources</t>
  </si>
  <si>
    <t>COI Social Resources COI Social Resources</t>
  </si>
  <si>
    <t>COI Wealth COI Wealth</t>
  </si>
  <si>
    <t>2025 HH Owns Any Pet: Percent 2025 HH Owns Any Pet: Percent</t>
  </si>
  <si>
    <t>2025 Per Capita Income 2025 Per Capita Income</t>
  </si>
  <si>
    <t>2025 Average Home Value 2025 Average Home Value</t>
  </si>
  <si>
    <t>2025 Average Household Income 2025 Average Household Income</t>
  </si>
  <si>
    <t>2025 Median Age 2025 Median Age</t>
  </si>
  <si>
    <t>2025 Total Housing Units 2025 Total Housing Units</t>
  </si>
  <si>
    <t>2025 Renter Occupied HUs 2025 Renter Occupied HUs</t>
  </si>
  <si>
    <t>2025 Renter Occupied HUs: Percen 2025 Renter Occupied HUs: Percent</t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</si>
  <si>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male</t>
    </r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</si>
  <si>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female</t>
    </r>
  </si>
  <si>
    <t>1= male 2=female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</si>
</sst>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.000"/>
    <numFmt numFmtId="166" formatCode="0.0"/>
  </numFmts>
  <fonts count="11" x14ac:knownFonts="1">
    <font>
      <sz val="11"/>
      <color theme="1"/>
      <name val="Aptos Narrow"/>
      <family val="2"/>
      <scheme val="minor"/>
    </font>
    <font>
      <b/>
      <sz val="10"/>
      <color rgb="FF112277"/>
      <name val="Arial"/>
      <family val="2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sz val="10"/>
      <color theme="9"/>
      <name val="Arial"/>
      <family val="2"/>
    </font>
    <font>
      <sz val="10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1D1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8F7C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rgb="FFB0B7BB"/>
      </right>
      <top/>
      <bottom style="medium">
        <color rgb="FFB0B7BB"/>
      </bottom>
      <diagonal/>
    </border>
    <border>
      <left/>
      <right/>
      <top/>
      <bottom style="medium">
        <color rgb="FFB0B7BB"/>
      </bottom>
      <diagonal/>
    </border>
    <border>
      <left/>
      <right style="medium">
        <color rgb="FFC1C1C1"/>
      </right>
      <top/>
      <bottom style="medium">
        <color rgb="FFC1C1C1"/>
      </bottom>
      <diagonal/>
    </border>
    <border>
      <left/>
      <right style="medium">
        <color rgb="FFC1C1C1"/>
      </right>
      <top/>
      <bottom/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  <border>
      <left style="medium">
        <color rgb="FFC1C1C1"/>
      </left>
      <right style="medium">
        <color rgb="FFB0B7BB"/>
      </right>
      <top/>
      <bottom style="medium">
        <color rgb="FFB0B7BB"/>
      </bottom>
      <diagonal/>
    </border>
    <border>
      <left style="medium">
        <color rgb="FFC1C1C1"/>
      </left>
      <right style="medium">
        <color rgb="FFB0B7BB"/>
      </right>
      <top/>
      <bottom/>
      <diagonal/>
    </border>
    <border>
      <left/>
      <right/>
      <top/>
      <bottom style="medium">
        <color rgb="FFC1C1C1"/>
      </bottom>
      <diagonal/>
    </border>
    <border>
      <left style="medium">
        <color rgb="FFC1C1C1"/>
      </left>
      <right/>
      <top style="medium">
        <color rgb="FFC1C1C1"/>
      </top>
      <bottom style="medium">
        <color rgb="FFB0B7BB"/>
      </bottom>
      <diagonal/>
    </border>
    <border>
      <left/>
      <right/>
      <top style="medium">
        <color rgb="FFC1C1C1"/>
      </top>
      <bottom style="medium">
        <color rgb="FFB0B7BB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1C1C1"/>
      </left>
      <right style="medium">
        <color rgb="FFB0B7BB"/>
      </right>
      <top style="medium">
        <color rgb="FFC1C1C1"/>
      </top>
      <bottom style="medium">
        <color rgb="FFB0B7BB"/>
      </bottom>
      <diagonal/>
    </border>
    <border>
      <left/>
      <right/>
      <top style="medium">
        <color rgb="FFC1C1C1"/>
      </top>
      <bottom style="medium">
        <color rgb="FFC1C1C1"/>
      </bottom>
      <diagonal/>
    </border>
    <border>
      <left/>
      <right style="medium">
        <color rgb="FFB0B7BB"/>
      </right>
      <top style="medium">
        <color rgb="FFC1C1C1"/>
      </top>
      <bottom style="medium">
        <color rgb="FFB0B7BB"/>
      </bottom>
      <diagonal/>
    </border>
    <border>
      <left style="medium">
        <color rgb="FFC1C1C1"/>
      </left>
      <right style="medium">
        <color rgb="FFC1C1C1"/>
      </right>
      <top/>
      <bottom/>
      <diagonal/>
    </border>
    <border>
      <left style="medium">
        <color rgb="FFC1C1C1"/>
      </left>
      <right style="medium">
        <color rgb="FFB0B7BB"/>
      </right>
      <top style="medium">
        <color rgb="FFB0B7BB"/>
      </top>
      <bottom/>
      <diagonal/>
    </border>
    <border>
      <left style="medium">
        <color rgb="FFB0B7BB"/>
      </left>
      <right/>
      <top style="medium">
        <color rgb="FFB0B7BB"/>
      </top>
      <bottom style="medium">
        <color rgb="FFB0B7BB"/>
      </bottom>
      <diagonal/>
    </border>
    <border>
      <left/>
      <right/>
      <top style="medium">
        <color rgb="FFB0B7BB"/>
      </top>
      <bottom style="medium">
        <color rgb="FFB0B7BB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0" borderId="0" xfId="0" applyFont="1" applyAlignment="1">
      <alignment horizontal="left"/>
    </xf>
    <xf numFmtId="0" fontId="4" fillId="3" borderId="3" xfId="0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left" wrapText="1"/>
    </xf>
    <xf numFmtId="0" fontId="4" fillId="3" borderId="4" xfId="0" applyFont="1" applyFill="1" applyBorder="1" applyAlignment="1">
      <alignment horizontal="right" vertical="top" wrapText="1"/>
    </xf>
    <xf numFmtId="0" fontId="4" fillId="3" borderId="0" xfId="0" applyFont="1" applyFill="1" applyAlignment="1">
      <alignment horizontal="left" vertical="top" wrapText="1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166" fontId="6" fillId="0" borderId="0" xfId="0" applyNumberFormat="1" applyFont="1" applyAlignment="1">
      <alignment horizontal="left"/>
    </xf>
    <xf numFmtId="166" fontId="6" fillId="4" borderId="0" xfId="0" applyNumberFormat="1" applyFont="1" applyFill="1" applyAlignment="1">
      <alignment horizontal="left"/>
    </xf>
    <xf numFmtId="1" fontId="6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center"/>
    </xf>
    <xf numFmtId="10" fontId="6" fillId="5" borderId="0" xfId="0" applyNumberFormat="1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/>
    </xf>
    <xf numFmtId="0" fontId="6" fillId="0" borderId="0" xfId="0" applyFont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8" fillId="0" borderId="0" xfId="0" applyFont="1"/>
    <xf numFmtId="164" fontId="0" fillId="0" borderId="12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left" indent="1"/>
    </xf>
    <xf numFmtId="164" fontId="0" fillId="0" borderId="13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left" indent="1"/>
    </xf>
    <xf numFmtId="164" fontId="0" fillId="0" borderId="14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3" borderId="16" xfId="0" applyFont="1" applyFill="1" applyBorder="1" applyAlignment="1">
      <alignment horizontal="right" vertical="top" wrapText="1"/>
    </xf>
    <xf numFmtId="0" fontId="4" fillId="3" borderId="0" xfId="0" applyFont="1" applyFill="1" applyAlignment="1">
      <alignment horizontal="right" vertical="top" wrapText="1"/>
    </xf>
    <xf numFmtId="0" fontId="1" fillId="2" borderId="17" xfId="0" applyFont="1" applyFill="1" applyBorder="1" applyAlignment="1">
      <alignment horizontal="right" wrapText="1"/>
    </xf>
    <xf numFmtId="0" fontId="1" fillId="2" borderId="11" xfId="0" applyFont="1" applyFill="1" applyBorder="1" applyAlignment="1">
      <alignment horizontal="right" wrapText="1"/>
    </xf>
    <xf numFmtId="0" fontId="4" fillId="3" borderId="9" xfId="0" applyFont="1" applyFill="1" applyBorder="1" applyAlignment="1">
      <alignment horizontal="right" vertical="top" wrapText="1"/>
    </xf>
    <xf numFmtId="11" fontId="4" fillId="3" borderId="3" xfId="0" applyNumberFormat="1" applyFont="1" applyFill="1" applyBorder="1" applyAlignment="1">
      <alignment horizontal="right" vertical="top" wrapText="1"/>
    </xf>
    <xf numFmtId="11" fontId="4" fillId="3" borderId="4" xfId="0" applyNumberFormat="1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right" vertical="top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 vertical="top"/>
    </xf>
    <xf numFmtId="0" fontId="1" fillId="2" borderId="15" xfId="0" applyFont="1" applyFill="1" applyBorder="1" applyAlignment="1">
      <alignment horizontal="left" vertical="top"/>
    </xf>
    <xf numFmtId="0" fontId="1" fillId="2" borderId="15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 vertical="top"/>
    </xf>
    <xf numFmtId="0" fontId="4" fillId="3" borderId="18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3" xfId="0" applyFont="1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14" xfId="0" applyBorder="1" applyAlignment="1">
      <alignment horizontal="left" indent="2"/>
    </xf>
    <xf numFmtId="0" fontId="2" fillId="0" borderId="13" xfId="0" applyFont="1" applyBorder="1" applyAlignment="1">
      <alignment horizontal="left"/>
    </xf>
    <xf numFmtId="0" fontId="0" fillId="0" borderId="12" xfId="0" applyBorder="1" applyAlignment="1">
      <alignment horizontal="left" indent="1"/>
    </xf>
    <xf numFmtId="0" fontId="0" fillId="0" borderId="0" xfId="0" applyAlignment="1">
      <alignment horizontal="left" wrapText="1" inden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4" fontId="10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19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19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 wrapText="1"/>
    </xf>
    <xf numFmtId="0" fontId="1" fillId="2" borderId="19" xfId="0" applyFont="1" applyFill="1" applyBorder="1" applyAlignment="1">
      <alignment horizontal="right" vertical="top" wrapText="1"/>
    </xf>
    <xf numFmtId="0" fontId="1" fillId="2" borderId="8" xfId="0" applyFont="1" applyFill="1" applyBorder="1" applyAlignment="1">
      <alignment horizontal="right" vertical="top" wrapText="1"/>
    </xf>
    <xf numFmtId="0" fontId="1" fillId="2" borderId="7" xfId="0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8">
    <dxf>
      <fill>
        <patternFill>
          <bgColor rgb="FFDCF3FC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DCF3FC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DCF3FC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DCF3FC"/>
        </patternFill>
      </fill>
    </dxf>
    <dxf>
      <font>
        <b/>
        <i val="0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DCF3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12700</xdr:colOff>
      <xdr:row>12</xdr:row>
      <xdr:rowOff>95251</xdr:rowOff>
    </xdr:from>
    <xdr:to>
      <xdr:col>19</xdr:col>
      <xdr:colOff>590550</xdr:colOff>
      <xdr:row>26</xdr:row>
      <xdr:rowOff>147639</xdr:rowOff>
    </xdr:to>
    <xdr:pic>
      <xdr:nvPicPr>
        <xdr:cNvPr id="2" name="Picture 1" descr="Distribution of NLCD Proportion Classified Land by AgeGrp">
          <a:extLst>
            <a:ext uri="{FF2B5EF4-FFF2-40B4-BE49-F238E27FC236}">
              <a16:creationId xmlns:a16="http://schemas.microsoft.com/office/drawing/2014/main" id="{83C57F6E-4C9B-1CB2-66EC-5CB52CE5A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7900" y="2336801"/>
          <a:ext cx="4845050" cy="3633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</xdr:row>
      <xdr:rowOff>171450</xdr:rowOff>
    </xdr:from>
    <xdr:to>
      <xdr:col>20</xdr:col>
      <xdr:colOff>8467</xdr:colOff>
      <xdr:row>49</xdr:row>
      <xdr:rowOff>12700</xdr:rowOff>
    </xdr:to>
    <xdr:pic>
      <xdr:nvPicPr>
        <xdr:cNvPr id="3" name="Picture 2" descr="Distribution of COI Overall by AgeGrp">
          <a:extLst>
            <a:ext uri="{FF2B5EF4-FFF2-40B4-BE49-F238E27FC236}">
              <a16:creationId xmlns:a16="http://schemas.microsoft.com/office/drawing/2014/main" id="{E356781B-B96E-B18B-0A85-8C44BC5B9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915150"/>
          <a:ext cx="4885267" cy="366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6350</xdr:colOff>
      <xdr:row>50</xdr:row>
      <xdr:rowOff>31750</xdr:rowOff>
    </xdr:from>
    <xdr:to>
      <xdr:col>19</xdr:col>
      <xdr:colOff>533400</xdr:colOff>
      <xdr:row>66</xdr:row>
      <xdr:rowOff>7938</xdr:rowOff>
    </xdr:to>
    <xdr:pic>
      <xdr:nvPicPr>
        <xdr:cNvPr id="4" name="Picture 3" descr="Distribution of COI Education by AgeGrp">
          <a:extLst>
            <a:ext uri="{FF2B5EF4-FFF2-40B4-BE49-F238E27FC236}">
              <a16:creationId xmlns:a16="http://schemas.microsoft.com/office/drawing/2014/main" id="{F4CF5E21-0541-AAEF-11A5-581469407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1550" y="10782300"/>
          <a:ext cx="4794250" cy="3595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6350</xdr:colOff>
      <xdr:row>69</xdr:row>
      <xdr:rowOff>133350</xdr:rowOff>
    </xdr:from>
    <xdr:to>
      <xdr:col>19</xdr:col>
      <xdr:colOff>400050</xdr:colOff>
      <xdr:row>84</xdr:row>
      <xdr:rowOff>28575</xdr:rowOff>
    </xdr:to>
    <xdr:pic>
      <xdr:nvPicPr>
        <xdr:cNvPr id="5" name="Picture 4" descr="Distribution of COI Health &amp; Environment by AgeGrp">
          <a:extLst>
            <a:ext uri="{FF2B5EF4-FFF2-40B4-BE49-F238E27FC236}">
              <a16:creationId xmlns:a16="http://schemas.microsoft.com/office/drawing/2014/main" id="{6D96B44E-8ABB-9820-6DBA-34E54B803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1550" y="15055850"/>
          <a:ext cx="4660900" cy="3495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603250</xdr:colOff>
      <xdr:row>90</xdr:row>
      <xdr:rowOff>6350</xdr:rowOff>
    </xdr:from>
    <xdr:to>
      <xdr:col>19</xdr:col>
      <xdr:colOff>406400</xdr:colOff>
      <xdr:row>104</xdr:row>
      <xdr:rowOff>100013</xdr:rowOff>
    </xdr:to>
    <xdr:pic>
      <xdr:nvPicPr>
        <xdr:cNvPr id="6" name="Picture 5" descr="Distribution of COI Social &amp; Economic by AgeGrp">
          <a:extLst>
            <a:ext uri="{FF2B5EF4-FFF2-40B4-BE49-F238E27FC236}">
              <a16:creationId xmlns:a16="http://schemas.microsoft.com/office/drawing/2014/main" id="{B43D0B5B-7947-93DF-4901-D4D70AE4F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8850" y="19634200"/>
          <a:ext cx="4679950" cy="3509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603250</xdr:colOff>
      <xdr:row>108</xdr:row>
      <xdr:rowOff>165100</xdr:rowOff>
    </xdr:from>
    <xdr:to>
      <xdr:col>19</xdr:col>
      <xdr:colOff>215900</xdr:colOff>
      <xdr:row>121</xdr:row>
      <xdr:rowOff>134938</xdr:rowOff>
    </xdr:to>
    <xdr:pic>
      <xdr:nvPicPr>
        <xdr:cNvPr id="7" name="Picture 6" descr="Distribution of COI Early Childhood Education by AgeGrp">
          <a:extLst>
            <a:ext uri="{FF2B5EF4-FFF2-40B4-BE49-F238E27FC236}">
              <a16:creationId xmlns:a16="http://schemas.microsoft.com/office/drawing/2014/main" id="{77CBD9D1-3FC6-F8E9-3E23-61DF82092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8850" y="23945850"/>
          <a:ext cx="4489450" cy="3367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590550</xdr:colOff>
      <xdr:row>127</xdr:row>
      <xdr:rowOff>139700</xdr:rowOff>
    </xdr:from>
    <xdr:to>
      <xdr:col>19</xdr:col>
      <xdr:colOff>277283</xdr:colOff>
      <xdr:row>141</xdr:row>
      <xdr:rowOff>146050</xdr:rowOff>
    </xdr:to>
    <xdr:pic>
      <xdr:nvPicPr>
        <xdr:cNvPr id="8" name="Picture 7" descr="Distribution of COI Elementary Education by AgeGrp">
          <a:extLst>
            <a:ext uri="{FF2B5EF4-FFF2-40B4-BE49-F238E27FC236}">
              <a16:creationId xmlns:a16="http://schemas.microsoft.com/office/drawing/2014/main" id="{989604D7-C6DC-E4FB-6856-3397DDE88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6150" y="28422600"/>
          <a:ext cx="4563533" cy="3422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</xdr:row>
      <xdr:rowOff>0</xdr:rowOff>
    </xdr:from>
    <xdr:to>
      <xdr:col>19</xdr:col>
      <xdr:colOff>381000</xdr:colOff>
      <xdr:row>161</xdr:row>
      <xdr:rowOff>69850</xdr:rowOff>
    </xdr:to>
    <xdr:pic>
      <xdr:nvPicPr>
        <xdr:cNvPr id="9" name="Picture 8" descr="Distribution of COI Educational Resources by AgeGrp">
          <a:extLst>
            <a:ext uri="{FF2B5EF4-FFF2-40B4-BE49-F238E27FC236}">
              <a16:creationId xmlns:a16="http://schemas.microsoft.com/office/drawing/2014/main" id="{58357F59-2821-9283-7150-382CFA392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2804100"/>
          <a:ext cx="4648200" cy="3486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603250</xdr:colOff>
      <xdr:row>165</xdr:row>
      <xdr:rowOff>12700</xdr:rowOff>
    </xdr:from>
    <xdr:to>
      <xdr:col>19</xdr:col>
      <xdr:colOff>349250</xdr:colOff>
      <xdr:row>178</xdr:row>
      <xdr:rowOff>82550</xdr:rowOff>
    </xdr:to>
    <xdr:pic>
      <xdr:nvPicPr>
        <xdr:cNvPr id="10" name="Picture 9" descr="Distribution of COI Secondary And PostSec Educat by AgeGrp">
          <a:extLst>
            <a:ext uri="{FF2B5EF4-FFF2-40B4-BE49-F238E27FC236}">
              <a16:creationId xmlns:a16="http://schemas.microsoft.com/office/drawing/2014/main" id="{E858D199-B15D-40CB-7475-717AB46F6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8850" y="36969700"/>
          <a:ext cx="4622800" cy="346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19050</xdr:colOff>
      <xdr:row>181</xdr:row>
      <xdr:rowOff>6350</xdr:rowOff>
    </xdr:from>
    <xdr:to>
      <xdr:col>19</xdr:col>
      <xdr:colOff>304800</xdr:colOff>
      <xdr:row>195</xdr:row>
      <xdr:rowOff>169863</xdr:rowOff>
    </xdr:to>
    <xdr:pic>
      <xdr:nvPicPr>
        <xdr:cNvPr id="11" name="Picture 10" descr="Distribution of COI Pollution by AgeGrp">
          <a:extLst>
            <a:ext uri="{FF2B5EF4-FFF2-40B4-BE49-F238E27FC236}">
              <a16:creationId xmlns:a16="http://schemas.microsoft.com/office/drawing/2014/main" id="{1478267D-D6E0-6087-8AB3-C781BE0C1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40913050"/>
          <a:ext cx="4552950" cy="3414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</xdr:colOff>
      <xdr:row>205</xdr:row>
      <xdr:rowOff>0</xdr:rowOff>
    </xdr:from>
    <xdr:to>
      <xdr:col>19</xdr:col>
      <xdr:colOff>311150</xdr:colOff>
      <xdr:row>219</xdr:row>
      <xdr:rowOff>14288</xdr:rowOff>
    </xdr:to>
    <xdr:pic>
      <xdr:nvPicPr>
        <xdr:cNvPr id="12" name="Picture 11" descr="Distribution of COI Health Resources by AgeGrp">
          <a:extLst>
            <a:ext uri="{FF2B5EF4-FFF2-40B4-BE49-F238E27FC236}">
              <a16:creationId xmlns:a16="http://schemas.microsoft.com/office/drawing/2014/main" id="{81703167-AC11-689D-6DAC-517708AE2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7900" y="46005750"/>
          <a:ext cx="4565650" cy="3424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6350</xdr:colOff>
      <xdr:row>222</xdr:row>
      <xdr:rowOff>12700</xdr:rowOff>
    </xdr:from>
    <xdr:to>
      <xdr:col>19</xdr:col>
      <xdr:colOff>323850</xdr:colOff>
      <xdr:row>235</xdr:row>
      <xdr:rowOff>53975</xdr:rowOff>
    </xdr:to>
    <xdr:pic>
      <xdr:nvPicPr>
        <xdr:cNvPr id="13" name="Picture 12" descr="Distribution of COI Safety-Related Resources by AgeGrp">
          <a:extLst>
            <a:ext uri="{FF2B5EF4-FFF2-40B4-BE49-F238E27FC236}">
              <a16:creationId xmlns:a16="http://schemas.microsoft.com/office/drawing/2014/main" id="{DEA1B1EF-3DA1-D8DC-AD91-D5DB87F56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1550" y="49980850"/>
          <a:ext cx="4584700" cy="3438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603250</xdr:colOff>
      <xdr:row>238</xdr:row>
      <xdr:rowOff>165100</xdr:rowOff>
    </xdr:from>
    <xdr:to>
      <xdr:col>19</xdr:col>
      <xdr:colOff>165100</xdr:colOff>
      <xdr:row>252</xdr:row>
      <xdr:rowOff>77788</xdr:rowOff>
    </xdr:to>
    <xdr:pic>
      <xdr:nvPicPr>
        <xdr:cNvPr id="14" name="Picture 13" descr="Distribution of COI Healthy Environments by AgeGrp">
          <a:extLst>
            <a:ext uri="{FF2B5EF4-FFF2-40B4-BE49-F238E27FC236}">
              <a16:creationId xmlns:a16="http://schemas.microsoft.com/office/drawing/2014/main" id="{EE94A982-D708-C897-E964-B16FC419C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8850" y="54082950"/>
          <a:ext cx="4438650" cy="33289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</xdr:colOff>
      <xdr:row>260</xdr:row>
      <xdr:rowOff>177800</xdr:rowOff>
    </xdr:from>
    <xdr:to>
      <xdr:col>19</xdr:col>
      <xdr:colOff>114300</xdr:colOff>
      <xdr:row>273</xdr:row>
      <xdr:rowOff>57150</xdr:rowOff>
    </xdr:to>
    <xdr:pic>
      <xdr:nvPicPr>
        <xdr:cNvPr id="15" name="Picture 14" descr="Distribution of COI Concentrated Socio-Economic by AgeGrp">
          <a:extLst>
            <a:ext uri="{FF2B5EF4-FFF2-40B4-BE49-F238E27FC236}">
              <a16:creationId xmlns:a16="http://schemas.microsoft.com/office/drawing/2014/main" id="{58B9CD26-EB96-277D-AE55-A46C06C87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7900" y="58985150"/>
          <a:ext cx="4368800" cy="327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546100</xdr:colOff>
      <xdr:row>279</xdr:row>
      <xdr:rowOff>0</xdr:rowOff>
    </xdr:from>
    <xdr:to>
      <xdr:col>19</xdr:col>
      <xdr:colOff>120650</xdr:colOff>
      <xdr:row>293</xdr:row>
      <xdr:rowOff>87313</xdr:rowOff>
    </xdr:to>
    <xdr:pic>
      <xdr:nvPicPr>
        <xdr:cNvPr id="16" name="Picture 15" descr="Distribution of COI Employment by AgeGrp">
          <a:extLst>
            <a:ext uri="{FF2B5EF4-FFF2-40B4-BE49-F238E27FC236}">
              <a16:creationId xmlns:a16="http://schemas.microsoft.com/office/drawing/2014/main" id="{BC739837-A064-5B5A-1610-1500E2A3B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1700" y="63309500"/>
          <a:ext cx="4451350" cy="3338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</xdr:colOff>
      <xdr:row>297</xdr:row>
      <xdr:rowOff>0</xdr:rowOff>
    </xdr:from>
    <xdr:to>
      <xdr:col>19</xdr:col>
      <xdr:colOff>361950</xdr:colOff>
      <xdr:row>311</xdr:row>
      <xdr:rowOff>46038</xdr:rowOff>
    </xdr:to>
    <xdr:pic>
      <xdr:nvPicPr>
        <xdr:cNvPr id="17" name="Picture 16" descr="Distribution of COI Economic Resources by AgeGrp">
          <a:extLst>
            <a:ext uri="{FF2B5EF4-FFF2-40B4-BE49-F238E27FC236}">
              <a16:creationId xmlns:a16="http://schemas.microsoft.com/office/drawing/2014/main" id="{0940E0FB-BC8A-8679-D5CB-42202F772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7900" y="67297300"/>
          <a:ext cx="4616450" cy="3462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19050</xdr:colOff>
      <xdr:row>315</xdr:row>
      <xdr:rowOff>19050</xdr:rowOff>
    </xdr:from>
    <xdr:to>
      <xdr:col>19</xdr:col>
      <xdr:colOff>546100</xdr:colOff>
      <xdr:row>330</xdr:row>
      <xdr:rowOff>14288</xdr:rowOff>
    </xdr:to>
    <xdr:pic>
      <xdr:nvPicPr>
        <xdr:cNvPr id="18" name="Picture 17" descr="Distribution of COI Housing Resources by AgeGrp">
          <a:extLst>
            <a:ext uri="{FF2B5EF4-FFF2-40B4-BE49-F238E27FC236}">
              <a16:creationId xmlns:a16="http://schemas.microsoft.com/office/drawing/2014/main" id="{271548D6-556B-4D58-6CD4-67BA0C20A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71469250"/>
          <a:ext cx="4794250" cy="3595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6350</xdr:colOff>
      <xdr:row>336</xdr:row>
      <xdr:rowOff>0</xdr:rowOff>
    </xdr:from>
    <xdr:to>
      <xdr:col>20</xdr:col>
      <xdr:colOff>31750</xdr:colOff>
      <xdr:row>351</xdr:row>
      <xdr:rowOff>76200</xdr:rowOff>
    </xdr:to>
    <xdr:pic>
      <xdr:nvPicPr>
        <xdr:cNvPr id="19" name="Picture 18" descr="Distribution of COI Social Resources by AgeGrp">
          <a:extLst>
            <a:ext uri="{FF2B5EF4-FFF2-40B4-BE49-F238E27FC236}">
              <a16:creationId xmlns:a16="http://schemas.microsoft.com/office/drawing/2014/main" id="{9E398959-9F8F-3F34-32AF-4EA731DA6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1550" y="76155550"/>
          <a:ext cx="4902200" cy="3676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50800</xdr:colOff>
      <xdr:row>355</xdr:row>
      <xdr:rowOff>12700</xdr:rowOff>
    </xdr:from>
    <xdr:to>
      <xdr:col>19</xdr:col>
      <xdr:colOff>444500</xdr:colOff>
      <xdr:row>371</xdr:row>
      <xdr:rowOff>53975</xdr:rowOff>
    </xdr:to>
    <xdr:pic>
      <xdr:nvPicPr>
        <xdr:cNvPr id="20" name="Picture 19" descr="Distribution of COI Wealth by AgeGrp">
          <a:extLst>
            <a:ext uri="{FF2B5EF4-FFF2-40B4-BE49-F238E27FC236}">
              <a16:creationId xmlns:a16="http://schemas.microsoft.com/office/drawing/2014/main" id="{2E6E94DC-7B3A-574A-EC76-9D7B909CA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0" y="80505300"/>
          <a:ext cx="4660900" cy="3495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603250</xdr:colOff>
      <xdr:row>375</xdr:row>
      <xdr:rowOff>19050</xdr:rowOff>
    </xdr:from>
    <xdr:to>
      <xdr:col>19</xdr:col>
      <xdr:colOff>546100</xdr:colOff>
      <xdr:row>389</xdr:row>
      <xdr:rowOff>52388</xdr:rowOff>
    </xdr:to>
    <xdr:pic>
      <xdr:nvPicPr>
        <xdr:cNvPr id="21" name="Picture 20" descr="Distribution of 2025 HH Owns Any Pet: Percent by AgeGrp">
          <a:extLst>
            <a:ext uri="{FF2B5EF4-FFF2-40B4-BE49-F238E27FC236}">
              <a16:creationId xmlns:a16="http://schemas.microsoft.com/office/drawing/2014/main" id="{766F2853-0626-2B18-7BBA-BA3CE1010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8850" y="84702650"/>
          <a:ext cx="4819650" cy="3614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590550</xdr:colOff>
      <xdr:row>392</xdr:row>
      <xdr:rowOff>0</xdr:rowOff>
    </xdr:from>
    <xdr:to>
      <xdr:col>19</xdr:col>
      <xdr:colOff>514350</xdr:colOff>
      <xdr:row>407</xdr:row>
      <xdr:rowOff>0</xdr:rowOff>
    </xdr:to>
    <xdr:pic>
      <xdr:nvPicPr>
        <xdr:cNvPr id="22" name="Picture 21" descr="Distribution of 2025 Per Capita Income by AgeGrp">
          <a:extLst>
            <a:ext uri="{FF2B5EF4-FFF2-40B4-BE49-F238E27FC236}">
              <a16:creationId xmlns:a16="http://schemas.microsoft.com/office/drawing/2014/main" id="{012C923A-BCC8-0A88-9D2C-72789E39E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6150" y="88817450"/>
          <a:ext cx="4800600" cy="3600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</xdr:colOff>
      <xdr:row>410</xdr:row>
      <xdr:rowOff>25400</xdr:rowOff>
    </xdr:from>
    <xdr:to>
      <xdr:col>19</xdr:col>
      <xdr:colOff>537633</xdr:colOff>
      <xdr:row>425</xdr:row>
      <xdr:rowOff>19050</xdr:rowOff>
    </xdr:to>
    <xdr:pic>
      <xdr:nvPicPr>
        <xdr:cNvPr id="23" name="Picture 22" descr="Distribution of 2025 Average Home Value by AgeGrp">
          <a:extLst>
            <a:ext uri="{FF2B5EF4-FFF2-40B4-BE49-F238E27FC236}">
              <a16:creationId xmlns:a16="http://schemas.microsoft.com/office/drawing/2014/main" id="{39CB05C2-8D58-E62D-B31E-2390E4B02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7900" y="92995750"/>
          <a:ext cx="4792133" cy="359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571500</xdr:colOff>
      <xdr:row>428</xdr:row>
      <xdr:rowOff>31750</xdr:rowOff>
    </xdr:from>
    <xdr:to>
      <xdr:col>18</xdr:col>
      <xdr:colOff>590550</xdr:colOff>
      <xdr:row>441</xdr:row>
      <xdr:rowOff>7938</xdr:rowOff>
    </xdr:to>
    <xdr:pic>
      <xdr:nvPicPr>
        <xdr:cNvPr id="24" name="Picture 23" descr="Distribution of 2025 Average Household Income by AgeGrp">
          <a:extLst>
            <a:ext uri="{FF2B5EF4-FFF2-40B4-BE49-F238E27FC236}">
              <a16:creationId xmlns:a16="http://schemas.microsoft.com/office/drawing/2014/main" id="{127962E5-D3EA-F6DA-C49D-F12951F32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97155000"/>
          <a:ext cx="4286250" cy="3214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514350</xdr:colOff>
      <xdr:row>450</xdr:row>
      <xdr:rowOff>57150</xdr:rowOff>
    </xdr:from>
    <xdr:to>
      <xdr:col>19</xdr:col>
      <xdr:colOff>127000</xdr:colOff>
      <xdr:row>464</xdr:row>
      <xdr:rowOff>173038</xdr:rowOff>
    </xdr:to>
    <xdr:pic>
      <xdr:nvPicPr>
        <xdr:cNvPr id="25" name="Picture 24" descr="Distribution of 2025 Median Age by AgeGrp">
          <a:extLst>
            <a:ext uri="{FF2B5EF4-FFF2-40B4-BE49-F238E27FC236}">
              <a16:creationId xmlns:a16="http://schemas.microsoft.com/office/drawing/2014/main" id="{E41476F8-A0DF-839E-A041-E7D302A27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9950" y="102235000"/>
          <a:ext cx="4489450" cy="3367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450850</xdr:colOff>
      <xdr:row>469</xdr:row>
      <xdr:rowOff>133350</xdr:rowOff>
    </xdr:from>
    <xdr:to>
      <xdr:col>19</xdr:col>
      <xdr:colOff>95250</xdr:colOff>
      <xdr:row>483</xdr:row>
      <xdr:rowOff>107950</xdr:rowOff>
    </xdr:to>
    <xdr:pic>
      <xdr:nvPicPr>
        <xdr:cNvPr id="26" name="Picture 25" descr="Distribution of 2025 Total Housing Units by AgeGrp">
          <a:extLst>
            <a:ext uri="{FF2B5EF4-FFF2-40B4-BE49-F238E27FC236}">
              <a16:creationId xmlns:a16="http://schemas.microsoft.com/office/drawing/2014/main" id="{138B6489-8892-0226-BD4A-C00861B4F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6450" y="106483150"/>
          <a:ext cx="4521200" cy="339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6350</xdr:colOff>
      <xdr:row>488</xdr:row>
      <xdr:rowOff>12700</xdr:rowOff>
    </xdr:from>
    <xdr:to>
      <xdr:col>18</xdr:col>
      <xdr:colOff>298450</xdr:colOff>
      <xdr:row>499</xdr:row>
      <xdr:rowOff>111125</xdr:rowOff>
    </xdr:to>
    <xdr:pic>
      <xdr:nvPicPr>
        <xdr:cNvPr id="27" name="Picture 26" descr="Distribution of 2025 Renter Occupied HUs by AgeGrp">
          <a:extLst>
            <a:ext uri="{FF2B5EF4-FFF2-40B4-BE49-F238E27FC236}">
              <a16:creationId xmlns:a16="http://schemas.microsoft.com/office/drawing/2014/main" id="{17C687DC-E1C9-7667-94B1-3D6393F2F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1550" y="110699550"/>
          <a:ext cx="3949700" cy="296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596900</xdr:colOff>
      <xdr:row>508</xdr:row>
      <xdr:rowOff>6350</xdr:rowOff>
    </xdr:from>
    <xdr:to>
      <xdr:col>18</xdr:col>
      <xdr:colOff>304800</xdr:colOff>
      <xdr:row>518</xdr:row>
      <xdr:rowOff>142875</xdr:rowOff>
    </xdr:to>
    <xdr:pic>
      <xdr:nvPicPr>
        <xdr:cNvPr id="28" name="Picture 27" descr="Distribution of 2025 Renter Occupied HUs: Percen by AgeGrp">
          <a:extLst>
            <a:ext uri="{FF2B5EF4-FFF2-40B4-BE49-F238E27FC236}">
              <a16:creationId xmlns:a16="http://schemas.microsoft.com/office/drawing/2014/main" id="{5E7DE688-049C-6A12-6146-725B2CB6D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2500" y="115214400"/>
          <a:ext cx="3975100" cy="2981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40F46-0B18-401F-B2C8-F593C95D46C8}">
  <dimension ref="A2:Q11"/>
  <sheetViews>
    <sheetView zoomScale="80" zoomScaleNormal="80" workbookViewId="0">
      <pane ySplit="4" topLeftCell="A5" activePane="bottomLeft" state="frozen"/>
      <selection activeCell="A41" sqref="A41"/>
      <selection pane="bottomLeft" activeCell="A18" sqref="A18"/>
    </sheetView>
  </sheetViews>
  <sheetFormatPr defaultRowHeight="14.5" x14ac:dyDescent="0.35"/>
  <cols>
    <col min="1" max="1" width="52.453125" customWidth="1"/>
    <col min="2" max="2" width="7.81640625" style="7" customWidth="1"/>
    <col min="3" max="3" width="7.7265625" style="9" customWidth="1"/>
    <col min="4" max="4" width="7.7265625" style="7" customWidth="1"/>
    <col min="5" max="5" width="7.7265625" style="9" customWidth="1"/>
    <col min="6" max="6" width="7.7265625" style="7" customWidth="1"/>
    <col min="7" max="7" width="7.7265625" style="9" customWidth="1"/>
    <col min="8" max="8" width="7.7265625" style="7" customWidth="1"/>
    <col min="9" max="9" width="7.7265625" style="9" customWidth="1"/>
    <col min="10" max="10" width="7.7265625" style="7" customWidth="1"/>
    <col min="11" max="11" width="7.7265625" style="9" customWidth="1"/>
    <col min="12" max="12" width="7.7265625" style="7" customWidth="1"/>
    <col min="13" max="13" width="7.7265625" style="9" customWidth="1"/>
    <col min="14" max="14" width="7.7265625" style="7" customWidth="1"/>
    <col min="15" max="15" width="7.7265625" style="9" customWidth="1"/>
    <col min="16" max="16" width="7.7265625" style="7" customWidth="1"/>
    <col min="17" max="17" width="7.7265625" style="9" customWidth="1"/>
  </cols>
  <sheetData>
    <row r="2" spans="1:17" x14ac:dyDescent="0.35">
      <c r="B2" s="71" t="s">
        <v>33</v>
      </c>
      <c r="C2" s="71"/>
      <c r="D2" s="71"/>
      <c r="E2" s="71"/>
      <c r="F2" s="71"/>
      <c r="G2" s="71"/>
      <c r="H2" s="71"/>
      <c r="I2" s="71"/>
      <c r="J2" s="71" t="s">
        <v>38</v>
      </c>
      <c r="K2" s="71"/>
      <c r="L2" s="71"/>
      <c r="M2" s="71"/>
      <c r="N2" s="71"/>
      <c r="O2" s="71"/>
      <c r="P2" s="71"/>
      <c r="Q2" s="71"/>
    </row>
    <row r="3" spans="1:17" x14ac:dyDescent="0.35">
      <c r="B3" s="72" t="s">
        <v>27</v>
      </c>
      <c r="C3" s="72"/>
      <c r="D3" s="72" t="s">
        <v>30</v>
      </c>
      <c r="E3" s="72"/>
      <c r="F3" s="72" t="s">
        <v>31</v>
      </c>
      <c r="G3" s="72"/>
      <c r="H3" s="72" t="s">
        <v>32</v>
      </c>
      <c r="I3" s="72"/>
      <c r="J3" s="73" t="s">
        <v>34</v>
      </c>
      <c r="K3" s="73"/>
      <c r="L3" s="73" t="s">
        <v>35</v>
      </c>
      <c r="M3" s="73"/>
      <c r="N3" s="73" t="s">
        <v>36</v>
      </c>
      <c r="O3" s="73"/>
      <c r="P3" s="73" t="s">
        <v>37</v>
      </c>
      <c r="Q3" s="73"/>
    </row>
    <row r="4" spans="1:17" x14ac:dyDescent="0.35">
      <c r="B4" s="8" t="s">
        <v>28</v>
      </c>
      <c r="C4" s="10" t="s">
        <v>29</v>
      </c>
      <c r="D4" s="8" t="s">
        <v>28</v>
      </c>
      <c r="E4" s="10" t="s">
        <v>29</v>
      </c>
      <c r="F4" s="8" t="s">
        <v>28</v>
      </c>
      <c r="G4" s="10" t="s">
        <v>29</v>
      </c>
      <c r="H4" s="8" t="s">
        <v>28</v>
      </c>
      <c r="I4" s="10" t="s">
        <v>29</v>
      </c>
      <c r="J4" s="8" t="s">
        <v>28</v>
      </c>
      <c r="K4" s="10" t="s">
        <v>29</v>
      </c>
      <c r="L4" s="8" t="s">
        <v>28</v>
      </c>
      <c r="M4" s="10" t="s">
        <v>29</v>
      </c>
      <c r="N4" s="8" t="s">
        <v>28</v>
      </c>
      <c r="O4" s="10" t="s">
        <v>29</v>
      </c>
      <c r="P4" s="8" t="s">
        <v>28</v>
      </c>
      <c r="Q4" s="10" t="s">
        <v>29</v>
      </c>
    </row>
    <row r="5" spans="1:17" x14ac:dyDescent="0.35">
      <c r="A5" s="61" t="s">
        <v>39</v>
      </c>
      <c r="B5" s="34"/>
      <c r="C5" s="35"/>
      <c r="D5" s="34"/>
      <c r="E5" s="35"/>
      <c r="F5" s="34"/>
      <c r="G5" s="35"/>
      <c r="H5" s="34"/>
      <c r="I5" s="35"/>
      <c r="J5" s="34"/>
      <c r="K5" s="35"/>
      <c r="L5" s="34"/>
      <c r="M5" s="35"/>
      <c r="N5" s="34"/>
      <c r="O5" s="35"/>
      <c r="P5" s="34"/>
      <c r="Q5" s="35"/>
    </row>
    <row r="6" spans="1:17" x14ac:dyDescent="0.35">
      <c r="A6" s="62" t="s">
        <v>40</v>
      </c>
      <c r="B6" s="7">
        <v>7.349E-2</v>
      </c>
      <c r="C6" s="9">
        <v>0.1203</v>
      </c>
      <c r="D6" s="7">
        <v>4.854E-2</v>
      </c>
      <c r="E6" s="9">
        <v>0.30530000000000002</v>
      </c>
      <c r="F6" s="7">
        <v>-2.588E-2</v>
      </c>
      <c r="G6" s="9">
        <v>0.58479999999999999</v>
      </c>
      <c r="H6" s="7">
        <v>-4.8199999999999996E-3</v>
      </c>
      <c r="I6" s="9">
        <v>0.91890000000000005</v>
      </c>
      <c r="J6" s="7">
        <v>-7.4660000000000004E-2</v>
      </c>
      <c r="K6" s="9">
        <v>9.9500000000000005E-2</v>
      </c>
      <c r="L6" s="7">
        <v>-4.0059999999999998E-2</v>
      </c>
      <c r="M6" s="9">
        <v>0.37919999999999998</v>
      </c>
      <c r="N6" s="7">
        <v>-9.35E-2</v>
      </c>
      <c r="O6" s="9">
        <v>3.9600000000000003E-2</v>
      </c>
      <c r="P6" s="7">
        <v>-5.5570000000000001E-2</v>
      </c>
      <c r="Q6" s="9">
        <v>0.2218</v>
      </c>
    </row>
    <row r="7" spans="1:17" x14ac:dyDescent="0.35">
      <c r="A7" s="63" t="s">
        <v>41</v>
      </c>
      <c r="B7" s="7">
        <v>1.7940000000000001E-2</v>
      </c>
      <c r="C7" s="9">
        <v>0.70489999999999997</v>
      </c>
      <c r="D7" s="7">
        <v>-3.022E-2</v>
      </c>
      <c r="E7" s="9">
        <v>0.52339999999999998</v>
      </c>
      <c r="F7" s="7">
        <v>-2.5400000000000002E-3</v>
      </c>
      <c r="G7" s="9">
        <v>0.95720000000000005</v>
      </c>
      <c r="H7" s="7">
        <v>1.39E-3</v>
      </c>
      <c r="I7" s="9">
        <v>0.97670000000000001</v>
      </c>
      <c r="J7" s="7">
        <v>1.0840000000000001E-2</v>
      </c>
      <c r="K7" s="9">
        <v>0.81120000000000003</v>
      </c>
      <c r="L7" s="7">
        <v>3.9730000000000001E-2</v>
      </c>
      <c r="M7" s="9">
        <v>0.3831</v>
      </c>
      <c r="N7" s="7">
        <v>3.32E-2</v>
      </c>
      <c r="O7" s="9">
        <v>0.46579999999999999</v>
      </c>
      <c r="P7" s="7">
        <v>-3.0700000000000002E-2</v>
      </c>
      <c r="Q7" s="9">
        <v>0.5</v>
      </c>
    </row>
    <row r="8" spans="1:17" x14ac:dyDescent="0.35">
      <c r="A8" s="63" t="s">
        <v>42</v>
      </c>
      <c r="B8" s="7">
        <v>-2.7910000000000001E-2</v>
      </c>
      <c r="C8" s="9">
        <v>0.55579999999999996</v>
      </c>
      <c r="D8" s="7">
        <v>-5.1500000000000001E-3</v>
      </c>
      <c r="E8" s="9">
        <v>0.91339999999999999</v>
      </c>
      <c r="F8" s="7">
        <v>1.3899999999999999E-2</v>
      </c>
      <c r="G8" s="9">
        <v>0.76919999999999999</v>
      </c>
      <c r="H8" s="7">
        <v>2.085E-2</v>
      </c>
      <c r="I8" s="9">
        <v>0.65980000000000005</v>
      </c>
      <c r="J8" s="7">
        <v>6.9019999999999998E-2</v>
      </c>
      <c r="K8" s="9">
        <v>0.12790000000000001</v>
      </c>
      <c r="L8" s="7">
        <v>3.9289999999999999E-2</v>
      </c>
      <c r="M8" s="9">
        <v>0.38840000000000002</v>
      </c>
      <c r="N8" s="7">
        <v>5.1229999999999998E-2</v>
      </c>
      <c r="O8" s="9">
        <v>0.2601</v>
      </c>
      <c r="P8" s="7">
        <v>8.3239999999999995E-2</v>
      </c>
      <c r="Q8" s="9">
        <v>6.7000000000000004E-2</v>
      </c>
    </row>
    <row r="9" spans="1:17" x14ac:dyDescent="0.35">
      <c r="A9" s="63" t="s">
        <v>43</v>
      </c>
      <c r="B9" s="7">
        <v>-2.5329999999999998E-2</v>
      </c>
      <c r="C9" s="9">
        <v>0.59279999999999999</v>
      </c>
      <c r="D9" s="7">
        <v>-2.7529999999999999E-2</v>
      </c>
      <c r="E9" s="9">
        <v>0.56110000000000004</v>
      </c>
      <c r="F9" s="7">
        <v>1.0189999999999999E-2</v>
      </c>
      <c r="G9" s="9">
        <v>0.82979999999999998</v>
      </c>
      <c r="H9" s="7">
        <v>-1.2E-4</v>
      </c>
      <c r="I9" s="9">
        <v>0.998</v>
      </c>
      <c r="J9" s="7">
        <v>3.1390000000000001E-2</v>
      </c>
      <c r="K9" s="9">
        <v>0.48899999999999999</v>
      </c>
      <c r="L9" s="7">
        <v>1.44E-2</v>
      </c>
      <c r="M9" s="9">
        <v>0.752</v>
      </c>
      <c r="N9" s="7">
        <v>4.165E-2</v>
      </c>
      <c r="O9" s="9">
        <v>0.36009999999999998</v>
      </c>
      <c r="P9" s="7">
        <v>1.9449999999999999E-2</v>
      </c>
      <c r="Q9" s="9">
        <v>0.66920000000000002</v>
      </c>
    </row>
    <row r="10" spans="1:17" x14ac:dyDescent="0.35">
      <c r="A10" s="63" t="s">
        <v>44</v>
      </c>
      <c r="B10" s="7">
        <v>-1.6299999999999999E-2</v>
      </c>
      <c r="C10" s="9">
        <v>0.73080000000000001</v>
      </c>
      <c r="D10" s="7">
        <v>4.5429999999999998E-2</v>
      </c>
      <c r="E10" s="9">
        <v>0.33739999999999998</v>
      </c>
      <c r="F10" s="7">
        <v>-7.0519999999999999E-2</v>
      </c>
      <c r="G10" s="9">
        <v>0.1361</v>
      </c>
      <c r="H10" s="7">
        <v>3.2120000000000003E-2</v>
      </c>
      <c r="I10" s="9">
        <v>0.49759999999999999</v>
      </c>
      <c r="J10" s="7">
        <v>-5.4390000000000001E-2</v>
      </c>
      <c r="K10" s="9">
        <v>0.23039999999999999</v>
      </c>
      <c r="L10" s="7">
        <v>-7.0050000000000001E-2</v>
      </c>
      <c r="M10" s="9">
        <v>0.12379999999999999</v>
      </c>
      <c r="N10" s="7">
        <v>1.059E-2</v>
      </c>
      <c r="O10" s="9">
        <v>0.81599999999999995</v>
      </c>
      <c r="P10" s="7">
        <v>-7.2499999999999995E-2</v>
      </c>
      <c r="Q10" s="9">
        <v>0.1108</v>
      </c>
    </row>
    <row r="11" spans="1:17" x14ac:dyDescent="0.35">
      <c r="A11" s="64" t="s">
        <v>45</v>
      </c>
      <c r="B11" s="37">
        <v>-0.10174</v>
      </c>
      <c r="C11" s="38">
        <v>3.1300000000000001E-2</v>
      </c>
      <c r="D11" s="37">
        <v>-8.226E-2</v>
      </c>
      <c r="E11" s="38">
        <v>8.2000000000000003E-2</v>
      </c>
      <c r="F11" s="37">
        <v>8.3320000000000005E-2</v>
      </c>
      <c r="G11" s="38">
        <v>7.8100000000000003E-2</v>
      </c>
      <c r="H11" s="37">
        <v>-4.1759999999999999E-2</v>
      </c>
      <c r="I11" s="38">
        <v>0.37790000000000001</v>
      </c>
      <c r="J11" s="37">
        <v>4.0649999999999999E-2</v>
      </c>
      <c r="K11" s="38">
        <v>0.37019999999999997</v>
      </c>
      <c r="L11" s="37">
        <v>1.247E-2</v>
      </c>
      <c r="M11" s="38">
        <v>0.7843</v>
      </c>
      <c r="N11" s="37">
        <v>3.4619999999999998E-2</v>
      </c>
      <c r="O11" s="38">
        <v>0.44690000000000002</v>
      </c>
      <c r="P11" s="37">
        <v>4.5769999999999998E-2</v>
      </c>
      <c r="Q11" s="38">
        <v>0.31440000000000001</v>
      </c>
    </row>
  </sheetData>
  <mergeCells count="10">
    <mergeCell ref="B2:I2"/>
    <mergeCell ref="J2:Q2"/>
    <mergeCell ref="B3:C3"/>
    <mergeCell ref="D3:E3"/>
    <mergeCell ref="F3:G3"/>
    <mergeCell ref="H3:I3"/>
    <mergeCell ref="J3:K3"/>
    <mergeCell ref="L3:M3"/>
    <mergeCell ref="N3:O3"/>
    <mergeCell ref="P3:Q3"/>
  </mergeCells>
  <conditionalFormatting sqref="C1:C1048576 E1:E1048576 G1:G1048576 I1:I1048576 K1:K1048576 M1:M1048576 O1:O1048576 Q1:Q1048576">
    <cfRule type="containsBlanks" priority="1" stopIfTrue="1">
      <formula>LEN(TRIM(C1))=0</formula>
    </cfRule>
    <cfRule type="cellIs" dxfId="7" priority="2" stopIfTrue="1" operator="lessThan">
      <formula>0.01</formula>
    </cfRule>
    <cfRule type="cellIs" dxfId="6" priority="3" operator="lessThan">
      <formula>0.05</formula>
    </cfRule>
  </conditionalFormatting>
  <pageMargins left="0.7" right="0.7" top="0.75" bottom="0.75" header="0.3" footer="0.3"/>
  <headerFooter>
    <oddFooter>&amp;L_x000D_&amp;1#&amp;"Aptos"&amp;10&amp;K000000 St. Jude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E524-60CC-4E4E-8366-999579B3665F}">
  <dimension ref="A2:Q20"/>
  <sheetViews>
    <sheetView zoomScale="80" zoomScaleNormal="80" workbookViewId="0">
      <pane ySplit="4" topLeftCell="A5" activePane="bottomLeft" state="frozen"/>
      <selection activeCell="A41" sqref="A41"/>
      <selection pane="bottomLeft" activeCell="Q20" sqref="A5:Q20"/>
    </sheetView>
  </sheetViews>
  <sheetFormatPr defaultRowHeight="14.5" x14ac:dyDescent="0.35"/>
  <cols>
    <col min="1" max="1" width="52.453125" customWidth="1"/>
    <col min="2" max="2" width="7.81640625" style="7" customWidth="1"/>
    <col min="3" max="3" width="7.7265625" style="9" customWidth="1"/>
    <col min="4" max="4" width="7.7265625" style="7" customWidth="1"/>
    <col min="5" max="5" width="7.7265625" style="9" customWidth="1"/>
    <col min="6" max="6" width="7.7265625" style="7" customWidth="1"/>
    <col min="7" max="7" width="7.7265625" style="9" customWidth="1"/>
    <col min="8" max="8" width="7.7265625" style="7" customWidth="1"/>
    <col min="9" max="9" width="7.7265625" style="9" customWidth="1"/>
    <col min="10" max="10" width="7.7265625" style="7" customWidth="1"/>
    <col min="11" max="11" width="7.7265625" style="9" customWidth="1"/>
    <col min="12" max="12" width="7.7265625" style="7" customWidth="1"/>
    <col min="13" max="13" width="7.7265625" style="9" customWidth="1"/>
    <col min="14" max="14" width="7.7265625" style="7" customWidth="1"/>
    <col min="15" max="15" width="7.7265625" style="9" customWidth="1"/>
    <col min="16" max="16" width="7.7265625" style="7" customWidth="1"/>
    <col min="17" max="17" width="7.7265625" style="9" customWidth="1"/>
  </cols>
  <sheetData>
    <row r="2" spans="1:17" x14ac:dyDescent="0.35">
      <c r="B2" s="71" t="s">
        <v>33</v>
      </c>
      <c r="C2" s="71"/>
      <c r="D2" s="71"/>
      <c r="E2" s="71"/>
      <c r="F2" s="71"/>
      <c r="G2" s="71"/>
      <c r="H2" s="71"/>
      <c r="I2" s="71"/>
      <c r="J2" s="71" t="s">
        <v>38</v>
      </c>
      <c r="K2" s="71"/>
      <c r="L2" s="71"/>
      <c r="M2" s="71"/>
      <c r="N2" s="71"/>
      <c r="O2" s="71"/>
      <c r="P2" s="71"/>
      <c r="Q2" s="71"/>
    </row>
    <row r="3" spans="1:17" x14ac:dyDescent="0.35">
      <c r="B3" s="72" t="s">
        <v>27</v>
      </c>
      <c r="C3" s="72"/>
      <c r="D3" s="72" t="s">
        <v>30</v>
      </c>
      <c r="E3" s="72"/>
      <c r="F3" s="72" t="s">
        <v>31</v>
      </c>
      <c r="G3" s="72"/>
      <c r="H3" s="72" t="s">
        <v>32</v>
      </c>
      <c r="I3" s="72"/>
      <c r="J3" s="73" t="s">
        <v>34</v>
      </c>
      <c r="K3" s="73"/>
      <c r="L3" s="73" t="s">
        <v>35</v>
      </c>
      <c r="M3" s="73"/>
      <c r="N3" s="73" t="s">
        <v>36</v>
      </c>
      <c r="O3" s="73"/>
      <c r="P3" s="73" t="s">
        <v>37</v>
      </c>
      <c r="Q3" s="73"/>
    </row>
    <row r="4" spans="1:17" x14ac:dyDescent="0.35">
      <c r="B4" s="8" t="s">
        <v>28</v>
      </c>
      <c r="C4" s="10" t="s">
        <v>29</v>
      </c>
      <c r="D4" s="8" t="s">
        <v>28</v>
      </c>
      <c r="E4" s="10" t="s">
        <v>29</v>
      </c>
      <c r="F4" s="8" t="s">
        <v>28</v>
      </c>
      <c r="G4" s="10" t="s">
        <v>29</v>
      </c>
      <c r="H4" s="8" t="s">
        <v>28</v>
      </c>
      <c r="I4" s="10" t="s">
        <v>29</v>
      </c>
      <c r="J4" s="8" t="s">
        <v>28</v>
      </c>
      <c r="K4" s="10" t="s">
        <v>29</v>
      </c>
      <c r="L4" s="8" t="s">
        <v>28</v>
      </c>
      <c r="M4" s="10" t="s">
        <v>29</v>
      </c>
      <c r="N4" s="8" t="s">
        <v>28</v>
      </c>
      <c r="O4" s="10" t="s">
        <v>29</v>
      </c>
      <c r="P4" s="8" t="s">
        <v>28</v>
      </c>
      <c r="Q4" s="10" t="s">
        <v>29</v>
      </c>
    </row>
    <row r="5" spans="1:17" x14ac:dyDescent="0.35">
      <c r="A5" s="65" t="s">
        <v>46</v>
      </c>
      <c r="B5" s="34"/>
      <c r="C5" s="35"/>
      <c r="D5" s="34"/>
      <c r="E5" s="35"/>
      <c r="F5" s="34"/>
      <c r="G5" s="35"/>
      <c r="H5" s="34"/>
      <c r="I5" s="35"/>
      <c r="J5" s="34"/>
      <c r="K5" s="35"/>
      <c r="L5" s="34"/>
      <c r="M5" s="35"/>
      <c r="N5" s="34"/>
      <c r="O5" s="35"/>
      <c r="P5" s="34"/>
      <c r="Q5" s="35"/>
    </row>
    <row r="6" spans="1:17" x14ac:dyDescent="0.35">
      <c r="A6" s="62" t="s">
        <v>67</v>
      </c>
      <c r="B6" s="7">
        <v>5.9400000000000001E-2</v>
      </c>
      <c r="C6" s="9">
        <v>0.20949999999999999</v>
      </c>
      <c r="D6" s="7">
        <v>1.9900000000000001E-2</v>
      </c>
      <c r="E6" s="9">
        <v>0.6744</v>
      </c>
      <c r="F6" s="7">
        <v>-2.1059999999999999E-2</v>
      </c>
      <c r="G6" s="9">
        <v>0.65669999999999995</v>
      </c>
      <c r="H6" s="7">
        <v>1.4120000000000001E-2</v>
      </c>
      <c r="I6" s="9">
        <v>0.76559999999999995</v>
      </c>
      <c r="J6" s="7">
        <v>3.3570000000000003E-2</v>
      </c>
      <c r="K6" s="9">
        <v>0.45939999999999998</v>
      </c>
      <c r="L6" s="7">
        <v>2.16E-3</v>
      </c>
      <c r="M6" s="9">
        <v>0.96220000000000006</v>
      </c>
      <c r="N6" s="7">
        <v>2.8580000000000001E-2</v>
      </c>
      <c r="O6" s="9">
        <v>0.53010000000000002</v>
      </c>
      <c r="P6" s="7">
        <v>4.5789999999999997E-2</v>
      </c>
      <c r="Q6" s="9">
        <v>0.31430000000000002</v>
      </c>
    </row>
    <row r="7" spans="1:17" x14ac:dyDescent="0.35">
      <c r="A7" s="62" t="s">
        <v>68</v>
      </c>
      <c r="B7" s="7">
        <v>-8.0560000000000007E-2</v>
      </c>
      <c r="C7" s="9">
        <v>8.8499999999999995E-2</v>
      </c>
      <c r="D7" s="7">
        <v>-8.276E-2</v>
      </c>
      <c r="E7" s="9">
        <v>8.0100000000000005E-2</v>
      </c>
      <c r="F7" s="7">
        <v>-1.976E-2</v>
      </c>
      <c r="G7" s="9">
        <v>0.67659999999999998</v>
      </c>
      <c r="H7" s="7">
        <v>3.0290000000000001E-2</v>
      </c>
      <c r="I7" s="9">
        <v>0.52249999999999996</v>
      </c>
      <c r="J7" s="7">
        <v>-3.5869999999999999E-2</v>
      </c>
      <c r="K7" s="9">
        <v>0.42909999999999998</v>
      </c>
      <c r="L7" s="7">
        <v>-1.8720000000000001E-2</v>
      </c>
      <c r="M7" s="9">
        <v>0.68120000000000003</v>
      </c>
      <c r="N7" s="7">
        <v>-3.3459999999999997E-2</v>
      </c>
      <c r="O7" s="9">
        <v>0.46229999999999999</v>
      </c>
      <c r="P7" s="7">
        <v>-3.4229999999999997E-2</v>
      </c>
      <c r="Q7" s="9">
        <v>0.45200000000000001</v>
      </c>
    </row>
    <row r="8" spans="1:17" x14ac:dyDescent="0.35">
      <c r="A8" s="62" t="s">
        <v>69</v>
      </c>
      <c r="B8" s="7">
        <v>1.1520000000000001E-2</v>
      </c>
      <c r="C8" s="9">
        <v>0.80789999999999995</v>
      </c>
      <c r="D8" s="7">
        <v>3.6339999999999997E-2</v>
      </c>
      <c r="E8" s="9">
        <v>0.443</v>
      </c>
      <c r="F8" s="7">
        <v>-1.238E-2</v>
      </c>
      <c r="G8" s="9">
        <v>0.79390000000000005</v>
      </c>
      <c r="H8" s="7">
        <v>-8.8999999999999995E-4</v>
      </c>
      <c r="I8" s="9">
        <v>0.98499999999999999</v>
      </c>
      <c r="J8" s="7">
        <v>-3.424E-2</v>
      </c>
      <c r="K8" s="9">
        <v>0.45040000000000002</v>
      </c>
      <c r="L8" s="7">
        <v>-1.243E-2</v>
      </c>
      <c r="M8" s="9">
        <v>0.78510000000000002</v>
      </c>
      <c r="N8" s="7">
        <v>-6.164E-2</v>
      </c>
      <c r="O8" s="9">
        <v>0.1754</v>
      </c>
      <c r="P8" s="7">
        <v>-1.9939999999999999E-2</v>
      </c>
      <c r="Q8" s="9">
        <v>0.6613</v>
      </c>
    </row>
    <row r="9" spans="1:17" x14ac:dyDescent="0.35">
      <c r="A9" s="62" t="s">
        <v>70</v>
      </c>
      <c r="B9" s="7">
        <v>3.79E-3</v>
      </c>
      <c r="C9" s="9">
        <v>0.93630000000000002</v>
      </c>
      <c r="D9" s="7">
        <v>1.133E-2</v>
      </c>
      <c r="E9" s="9">
        <v>0.81100000000000005</v>
      </c>
      <c r="F9" s="7">
        <v>3.9399999999999998E-2</v>
      </c>
      <c r="G9" s="9">
        <v>0.40550000000000003</v>
      </c>
      <c r="H9" s="7">
        <v>-6.4479999999999996E-2</v>
      </c>
      <c r="I9" s="9">
        <v>0.1731</v>
      </c>
      <c r="J9" s="7">
        <v>-1.6279999999999999E-2</v>
      </c>
      <c r="K9" s="9">
        <v>0.7198</v>
      </c>
      <c r="L9" s="7">
        <v>1.1010000000000001E-2</v>
      </c>
      <c r="M9" s="9">
        <v>0.80910000000000004</v>
      </c>
      <c r="N9" s="7">
        <v>-2.896E-2</v>
      </c>
      <c r="O9" s="9">
        <v>0.52449999999999997</v>
      </c>
      <c r="P9" s="7">
        <v>-2.274E-2</v>
      </c>
      <c r="Q9" s="9">
        <v>0.61729999999999996</v>
      </c>
    </row>
    <row r="10" spans="1:17" x14ac:dyDescent="0.35">
      <c r="A10" s="62" t="s">
        <v>71</v>
      </c>
      <c r="B10" s="7">
        <v>3.2599999999999999E-3</v>
      </c>
      <c r="C10" s="9">
        <v>0.94520000000000004</v>
      </c>
      <c r="D10" s="7">
        <v>6.6400000000000001E-3</v>
      </c>
      <c r="E10" s="9">
        <v>0.88849999999999996</v>
      </c>
      <c r="F10" s="7">
        <v>3.5060000000000001E-2</v>
      </c>
      <c r="G10" s="9">
        <v>0.4592</v>
      </c>
      <c r="H10" s="7">
        <v>-6.3689999999999997E-2</v>
      </c>
      <c r="I10" s="9">
        <v>0.1784</v>
      </c>
      <c r="J10" s="7">
        <v>-1.5789999999999998E-2</v>
      </c>
      <c r="K10" s="9">
        <v>0.72789999999999999</v>
      </c>
      <c r="L10" s="7">
        <v>9.4900000000000002E-3</v>
      </c>
      <c r="M10" s="9">
        <v>0.83499999999999996</v>
      </c>
      <c r="N10" s="7">
        <v>-3.2739999999999998E-2</v>
      </c>
      <c r="O10" s="9">
        <v>0.47199999999999998</v>
      </c>
      <c r="P10" s="7">
        <v>-1.678E-2</v>
      </c>
      <c r="Q10" s="9">
        <v>0.71240000000000003</v>
      </c>
    </row>
    <row r="11" spans="1:17" x14ac:dyDescent="0.35">
      <c r="A11" s="2" t="s">
        <v>65</v>
      </c>
    </row>
    <row r="12" spans="1:17" x14ac:dyDescent="0.35">
      <c r="A12" s="62" t="s">
        <v>67</v>
      </c>
      <c r="B12" s="7">
        <v>5.8310000000000001E-2</v>
      </c>
      <c r="C12" s="9">
        <v>0.218</v>
      </c>
      <c r="D12" s="7">
        <v>1.719E-2</v>
      </c>
      <c r="E12" s="9">
        <v>0.7167</v>
      </c>
      <c r="F12" s="7">
        <v>-2.1080000000000002E-2</v>
      </c>
      <c r="G12" s="9">
        <v>0.65639999999999998</v>
      </c>
      <c r="H12" s="7">
        <v>1.038E-2</v>
      </c>
      <c r="I12" s="9">
        <v>0.82650000000000001</v>
      </c>
      <c r="J12" s="7">
        <v>4.0280000000000003E-2</v>
      </c>
      <c r="K12" s="9">
        <v>0.37459999999999999</v>
      </c>
      <c r="L12" s="7">
        <v>7.26E-3</v>
      </c>
      <c r="M12" s="9">
        <v>0.87339999999999995</v>
      </c>
      <c r="N12" s="7">
        <v>3.5889999999999998E-2</v>
      </c>
      <c r="O12" s="9">
        <v>0.4304</v>
      </c>
      <c r="P12" s="7">
        <v>5.0560000000000001E-2</v>
      </c>
      <c r="Q12" s="9">
        <v>0.26640000000000003</v>
      </c>
    </row>
    <row r="13" spans="1:17" x14ac:dyDescent="0.35">
      <c r="A13" s="62" t="s">
        <v>68</v>
      </c>
      <c r="B13" s="7">
        <v>-7.9339999999999994E-2</v>
      </c>
      <c r="C13" s="9">
        <v>9.35E-2</v>
      </c>
      <c r="D13" s="7">
        <v>-8.1820000000000004E-2</v>
      </c>
      <c r="E13" s="9">
        <v>8.3699999999999997E-2</v>
      </c>
      <c r="F13" s="7">
        <v>-2.0400000000000001E-2</v>
      </c>
      <c r="G13" s="9">
        <v>0.66669999999999996</v>
      </c>
      <c r="H13" s="7">
        <v>3.092E-2</v>
      </c>
      <c r="I13" s="9">
        <v>0.51390000000000002</v>
      </c>
      <c r="J13" s="7">
        <v>-3.4939999999999999E-2</v>
      </c>
      <c r="K13" s="9">
        <v>0.44130000000000003</v>
      </c>
      <c r="L13" s="7">
        <v>-1.7729999999999999E-2</v>
      </c>
      <c r="M13" s="9">
        <v>0.69730000000000003</v>
      </c>
      <c r="N13" s="7">
        <v>-3.2439999999999997E-2</v>
      </c>
      <c r="O13" s="9">
        <v>0.47599999999999998</v>
      </c>
      <c r="P13" s="7">
        <v>-3.3860000000000001E-2</v>
      </c>
      <c r="Q13" s="9">
        <v>0.45679999999999998</v>
      </c>
    </row>
    <row r="14" spans="1:17" x14ac:dyDescent="0.35">
      <c r="A14" s="62" t="s">
        <v>69</v>
      </c>
      <c r="B14" s="7">
        <v>1.073E-2</v>
      </c>
      <c r="C14" s="9">
        <v>0.82079999999999997</v>
      </c>
      <c r="D14" s="7">
        <v>3.5099999999999999E-2</v>
      </c>
      <c r="E14" s="9">
        <v>0.4587</v>
      </c>
      <c r="F14" s="7">
        <v>-1.4250000000000001E-2</v>
      </c>
      <c r="G14" s="9">
        <v>0.76349999999999996</v>
      </c>
      <c r="H14" s="7">
        <v>6.2E-4</v>
      </c>
      <c r="I14" s="9">
        <v>0.98960000000000004</v>
      </c>
      <c r="J14" s="7">
        <v>-3.5209999999999998E-2</v>
      </c>
      <c r="K14" s="9">
        <v>0.43769999999999998</v>
      </c>
      <c r="L14" s="7">
        <v>-1.1679999999999999E-2</v>
      </c>
      <c r="M14" s="9">
        <v>0.79769999999999996</v>
      </c>
      <c r="N14" s="7">
        <v>-6.3670000000000004E-2</v>
      </c>
      <c r="O14" s="9">
        <v>0.1615</v>
      </c>
      <c r="P14" s="7">
        <v>-2.1860000000000001E-2</v>
      </c>
      <c r="Q14" s="9">
        <v>0.63100000000000001</v>
      </c>
    </row>
    <row r="15" spans="1:17" x14ac:dyDescent="0.35">
      <c r="A15" s="62" t="s">
        <v>70</v>
      </c>
      <c r="B15" s="7">
        <v>5.2100000000000002E-3</v>
      </c>
      <c r="C15" s="9">
        <v>0.91239999999999999</v>
      </c>
      <c r="D15" s="7">
        <v>1.09E-2</v>
      </c>
      <c r="E15" s="9">
        <v>0.81810000000000005</v>
      </c>
      <c r="F15" s="7">
        <v>3.9629999999999999E-2</v>
      </c>
      <c r="G15" s="9">
        <v>0.4027</v>
      </c>
      <c r="H15" s="7">
        <v>-6.2530000000000002E-2</v>
      </c>
      <c r="I15" s="9">
        <v>0.1865</v>
      </c>
      <c r="J15" s="7">
        <v>-1.37E-2</v>
      </c>
      <c r="K15" s="9">
        <v>0.76270000000000004</v>
      </c>
      <c r="L15" s="7">
        <v>1.2959999999999999E-2</v>
      </c>
      <c r="M15" s="9">
        <v>0.77610000000000001</v>
      </c>
      <c r="N15" s="7">
        <v>-2.6409999999999999E-2</v>
      </c>
      <c r="O15" s="9">
        <v>0.56179999999999997</v>
      </c>
      <c r="P15" s="7">
        <v>-2.0840000000000001E-2</v>
      </c>
      <c r="Q15" s="9">
        <v>0.64710000000000001</v>
      </c>
    </row>
    <row r="16" spans="1:17" x14ac:dyDescent="0.35">
      <c r="A16" s="62" t="s">
        <v>71</v>
      </c>
      <c r="B16" s="7">
        <v>3.96E-3</v>
      </c>
      <c r="C16" s="9">
        <v>0.93340000000000001</v>
      </c>
      <c r="D16" s="7">
        <v>7.1999999999999998E-3</v>
      </c>
      <c r="E16" s="9">
        <v>0.87929999999999997</v>
      </c>
      <c r="F16" s="7">
        <v>3.6859999999999997E-2</v>
      </c>
      <c r="G16" s="9">
        <v>0.43640000000000001</v>
      </c>
      <c r="H16" s="7">
        <v>-6.3219999999999998E-2</v>
      </c>
      <c r="I16" s="9">
        <v>0.18160000000000001</v>
      </c>
      <c r="J16" s="7">
        <v>-1.566E-2</v>
      </c>
      <c r="K16" s="9">
        <v>0.73009999999999997</v>
      </c>
      <c r="L16" s="7">
        <v>9.2099999999999994E-3</v>
      </c>
      <c r="M16" s="9">
        <v>0.83989999999999998</v>
      </c>
      <c r="N16" s="7">
        <v>-3.041E-2</v>
      </c>
      <c r="O16" s="9">
        <v>0.504</v>
      </c>
      <c r="P16" s="7">
        <v>-1.857E-2</v>
      </c>
      <c r="Q16" s="9">
        <v>0.68330000000000002</v>
      </c>
    </row>
    <row r="17" spans="1:17" x14ac:dyDescent="0.35">
      <c r="A17" s="2" t="s">
        <v>66</v>
      </c>
    </row>
    <row r="18" spans="1:17" x14ac:dyDescent="0.35">
      <c r="A18" s="62" t="s">
        <v>24</v>
      </c>
      <c r="B18" s="7">
        <v>4.8169999999999998E-2</v>
      </c>
      <c r="C18" s="9">
        <v>0.309</v>
      </c>
      <c r="D18" s="7">
        <v>3.3189999999999997E-2</v>
      </c>
      <c r="E18" s="9">
        <v>0.48349999999999999</v>
      </c>
      <c r="F18" s="7">
        <v>8.8199999999999997E-3</v>
      </c>
      <c r="G18" s="9">
        <v>0.85229999999999995</v>
      </c>
      <c r="H18" s="7">
        <v>7.3099999999999997E-3</v>
      </c>
      <c r="I18" s="9">
        <v>0.87729999999999997</v>
      </c>
      <c r="J18" s="7">
        <v>-3.9320000000000001E-2</v>
      </c>
      <c r="K18" s="9">
        <v>0.3861</v>
      </c>
      <c r="L18" s="7">
        <v>-2.3640000000000001E-2</v>
      </c>
      <c r="M18" s="9">
        <v>0.60389999999999999</v>
      </c>
      <c r="N18" s="7">
        <v>-9.0270000000000003E-2</v>
      </c>
      <c r="O18" s="9">
        <v>4.6899999999999997E-2</v>
      </c>
      <c r="P18" s="7">
        <v>6.7000000000000002E-4</v>
      </c>
      <c r="Q18" s="9">
        <v>0.98819999999999997</v>
      </c>
    </row>
    <row r="19" spans="1:17" x14ac:dyDescent="0.35">
      <c r="A19" s="62" t="s">
        <v>25</v>
      </c>
      <c r="B19" s="7">
        <v>-3.4290000000000001E-2</v>
      </c>
      <c r="C19" s="9">
        <v>0.5373</v>
      </c>
      <c r="D19" s="7">
        <v>3.98E-3</v>
      </c>
      <c r="E19" s="9">
        <v>0.94289999999999996</v>
      </c>
      <c r="F19" s="7">
        <v>4.9500000000000002E-2</v>
      </c>
      <c r="G19" s="9">
        <v>0.373</v>
      </c>
      <c r="H19" s="7">
        <v>2.4879999999999999E-2</v>
      </c>
      <c r="I19" s="9">
        <v>0.65449999999999997</v>
      </c>
      <c r="J19" s="7">
        <v>1.9230000000000001E-2</v>
      </c>
      <c r="K19" s="9">
        <v>0.71809999999999996</v>
      </c>
      <c r="L19" s="7">
        <v>4.7239999999999997E-2</v>
      </c>
      <c r="M19" s="9">
        <v>0.37619999999999998</v>
      </c>
      <c r="N19" s="7">
        <v>-1.4E-2</v>
      </c>
      <c r="O19" s="9">
        <v>0.79349999999999998</v>
      </c>
      <c r="P19" s="7">
        <v>-5.1599999999999997E-3</v>
      </c>
      <c r="Q19" s="9">
        <v>0.92290000000000005</v>
      </c>
    </row>
    <row r="20" spans="1:17" x14ac:dyDescent="0.35">
      <c r="A20" s="36" t="s">
        <v>26</v>
      </c>
      <c r="B20" s="37">
        <v>9.9399999999999992E-3</v>
      </c>
      <c r="C20" s="38">
        <v>0.83379999999999999</v>
      </c>
      <c r="D20" s="37">
        <v>3.891E-2</v>
      </c>
      <c r="E20" s="38">
        <v>0.4113</v>
      </c>
      <c r="F20" s="37">
        <v>-6.4280000000000004E-2</v>
      </c>
      <c r="G20" s="38">
        <v>0.1744</v>
      </c>
      <c r="H20" s="37">
        <v>8.3419999999999994E-2</v>
      </c>
      <c r="I20" s="38">
        <v>7.7799999999999994E-2</v>
      </c>
      <c r="J20" s="37">
        <v>1.7219999999999999E-2</v>
      </c>
      <c r="K20" s="38">
        <v>0.70430000000000004</v>
      </c>
      <c r="L20" s="37">
        <v>3.9269999999999999E-2</v>
      </c>
      <c r="M20" s="38">
        <v>0.38869999999999999</v>
      </c>
      <c r="N20" s="37">
        <v>3.0599999999999998E-3</v>
      </c>
      <c r="O20" s="38">
        <v>0.94650000000000001</v>
      </c>
      <c r="P20" s="37">
        <v>2.3500000000000001E-3</v>
      </c>
      <c r="Q20" s="38">
        <v>0.95889999999999997</v>
      </c>
    </row>
  </sheetData>
  <mergeCells count="10">
    <mergeCell ref="B2:I2"/>
    <mergeCell ref="P3:Q3"/>
    <mergeCell ref="N3:O3"/>
    <mergeCell ref="L3:M3"/>
    <mergeCell ref="J3:K3"/>
    <mergeCell ref="J2:Q2"/>
    <mergeCell ref="H3:I3"/>
    <mergeCell ref="F3:G3"/>
    <mergeCell ref="D3:E3"/>
    <mergeCell ref="B3:C3"/>
  </mergeCells>
  <conditionalFormatting sqref="C1:C1048576 E1:E1048576 G1:G1048576 I1:I1048576 K1:K1048576 M1:M1048576 O1:O1048576 Q1:Q1048576">
    <cfRule type="containsBlanks" priority="1" stopIfTrue="1">
      <formula>LEN(TRIM(C1))=0</formula>
    </cfRule>
    <cfRule type="cellIs" dxfId="5" priority="2" stopIfTrue="1" operator="lessThan">
      <formula>0.01</formula>
    </cfRule>
    <cfRule type="cellIs" dxfId="4" priority="3" operator="lessThan">
      <formula>0.05</formula>
    </cfRule>
  </conditionalFormatting>
  <pageMargins left="0.7" right="0.7" top="0.75" bottom="0.75" header="0.3" footer="0.3"/>
  <headerFooter>
    <oddFooter>&amp;L_x000D_&amp;1#&amp;"Aptos"&amp;10&amp;K000000 St. Jude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B4A4E-DDE5-4066-88FD-42705D2CCCCC}">
  <dimension ref="A2:Q23"/>
  <sheetViews>
    <sheetView zoomScale="80" zoomScaleNormal="80" workbookViewId="0">
      <pane ySplit="4" topLeftCell="A5" activePane="bottomLeft" state="frozen"/>
      <selection activeCell="A41" sqref="A41"/>
      <selection pane="bottomLeft" activeCell="A25" sqref="A25"/>
    </sheetView>
  </sheetViews>
  <sheetFormatPr defaultRowHeight="14.5" x14ac:dyDescent="0.35"/>
  <cols>
    <col min="1" max="1" width="52.453125" customWidth="1"/>
    <col min="2" max="2" width="7.81640625" style="7" customWidth="1"/>
    <col min="3" max="3" width="7.7265625" style="9" customWidth="1"/>
    <col min="4" max="4" width="7.7265625" style="7" customWidth="1"/>
    <col min="5" max="5" width="7.7265625" style="9" customWidth="1"/>
    <col min="6" max="6" width="7.7265625" style="7" customWidth="1"/>
    <col min="7" max="7" width="7.7265625" style="9" customWidth="1"/>
    <col min="8" max="8" width="7.7265625" style="7" customWidth="1"/>
    <col min="9" max="9" width="7.7265625" style="9" customWidth="1"/>
    <col min="10" max="10" width="7.7265625" style="7" customWidth="1"/>
    <col min="11" max="11" width="7.7265625" style="9" customWidth="1"/>
    <col min="12" max="12" width="7.7265625" style="7" customWidth="1"/>
    <col min="13" max="13" width="7.7265625" style="9" customWidth="1"/>
    <col min="14" max="14" width="7.7265625" style="7" customWidth="1"/>
    <col min="15" max="15" width="7.7265625" style="9" customWidth="1"/>
    <col min="16" max="16" width="7.7265625" style="7" customWidth="1"/>
    <col min="17" max="17" width="7.7265625" style="9" customWidth="1"/>
  </cols>
  <sheetData>
    <row r="2" spans="1:17" x14ac:dyDescent="0.35">
      <c r="B2" s="71" t="s">
        <v>33</v>
      </c>
      <c r="C2" s="71"/>
      <c r="D2" s="71"/>
      <c r="E2" s="71"/>
      <c r="F2" s="71"/>
      <c r="G2" s="71"/>
      <c r="H2" s="71"/>
      <c r="I2" s="71"/>
      <c r="J2" s="71" t="s">
        <v>38</v>
      </c>
      <c r="K2" s="71"/>
      <c r="L2" s="71"/>
      <c r="M2" s="71"/>
      <c r="N2" s="71"/>
      <c r="O2" s="71"/>
      <c r="P2" s="71"/>
      <c r="Q2" s="71"/>
    </row>
    <row r="3" spans="1:17" x14ac:dyDescent="0.35">
      <c r="B3" s="72" t="s">
        <v>27</v>
      </c>
      <c r="C3" s="72"/>
      <c r="D3" s="72" t="s">
        <v>30</v>
      </c>
      <c r="E3" s="72"/>
      <c r="F3" s="72" t="s">
        <v>31</v>
      </c>
      <c r="G3" s="72"/>
      <c r="H3" s="72" t="s">
        <v>32</v>
      </c>
      <c r="I3" s="72"/>
      <c r="J3" s="73" t="s">
        <v>34</v>
      </c>
      <c r="K3" s="73"/>
      <c r="L3" s="73" t="s">
        <v>35</v>
      </c>
      <c r="M3" s="73"/>
      <c r="N3" s="73" t="s">
        <v>36</v>
      </c>
      <c r="O3" s="73"/>
      <c r="P3" s="73" t="s">
        <v>37</v>
      </c>
      <c r="Q3" s="73"/>
    </row>
    <row r="4" spans="1:17" x14ac:dyDescent="0.35">
      <c r="B4" s="8" t="s">
        <v>28</v>
      </c>
      <c r="C4" s="10" t="s">
        <v>29</v>
      </c>
      <c r="D4" s="8" t="s">
        <v>28</v>
      </c>
      <c r="E4" s="10" t="s">
        <v>29</v>
      </c>
      <c r="F4" s="8" t="s">
        <v>28</v>
      </c>
      <c r="G4" s="10" t="s">
        <v>29</v>
      </c>
      <c r="H4" s="8" t="s">
        <v>28</v>
      </c>
      <c r="I4" s="10" t="s">
        <v>29</v>
      </c>
      <c r="J4" s="8" t="s">
        <v>28</v>
      </c>
      <c r="K4" s="10" t="s">
        <v>29</v>
      </c>
      <c r="L4" s="8" t="s">
        <v>28</v>
      </c>
      <c r="M4" s="10" t="s">
        <v>29</v>
      </c>
      <c r="N4" s="8" t="s">
        <v>28</v>
      </c>
      <c r="O4" s="10" t="s">
        <v>29</v>
      </c>
      <c r="P4" s="8" t="s">
        <v>28</v>
      </c>
      <c r="Q4" s="10" t="s">
        <v>29</v>
      </c>
    </row>
    <row r="5" spans="1:17" x14ac:dyDescent="0.35">
      <c r="A5" s="2" t="s">
        <v>264</v>
      </c>
    </row>
    <row r="6" spans="1:17" x14ac:dyDescent="0.35">
      <c r="A6" s="66" t="s">
        <v>289</v>
      </c>
      <c r="B6" s="31">
        <v>4.2689999999999999E-2</v>
      </c>
      <c r="C6" s="32">
        <v>0.36730000000000002</v>
      </c>
      <c r="D6" s="31">
        <v>4.1369999999999997E-2</v>
      </c>
      <c r="E6" s="32">
        <v>0.38240000000000002</v>
      </c>
      <c r="F6" s="31">
        <v>-6.4000000000000005E-4</v>
      </c>
      <c r="G6" s="32">
        <v>0.98929999999999996</v>
      </c>
      <c r="H6" s="31">
        <v>-6.2899999999999998E-2</v>
      </c>
      <c r="I6" s="32">
        <v>0.18390000000000001</v>
      </c>
      <c r="J6" s="31">
        <v>0.15648000000000001</v>
      </c>
      <c r="K6" s="32">
        <v>5.0000000000000001E-4</v>
      </c>
      <c r="L6" s="31">
        <v>0.14549000000000001</v>
      </c>
      <c r="M6" s="32">
        <v>1.2999999999999999E-3</v>
      </c>
      <c r="N6" s="31">
        <v>0.13986999999999999</v>
      </c>
      <c r="O6" s="32">
        <v>2E-3</v>
      </c>
      <c r="P6" s="31">
        <v>9.7110000000000002E-2</v>
      </c>
      <c r="Q6" s="32">
        <v>3.2500000000000001E-2</v>
      </c>
    </row>
    <row r="7" spans="1:17" x14ac:dyDescent="0.35">
      <c r="A7" s="33" t="s">
        <v>290</v>
      </c>
      <c r="B7" s="34">
        <v>-9.9399999999999992E-3</v>
      </c>
      <c r="C7" s="35">
        <v>0.83379999999999999</v>
      </c>
      <c r="D7" s="34">
        <v>-9.4400000000000005E-3</v>
      </c>
      <c r="E7" s="35">
        <v>0.84209999999999996</v>
      </c>
      <c r="F7" s="34">
        <v>4.8230000000000002E-2</v>
      </c>
      <c r="G7" s="35">
        <v>0.3085</v>
      </c>
      <c r="H7" s="34">
        <v>-8.2640000000000005E-2</v>
      </c>
      <c r="I7" s="35">
        <v>8.0600000000000005E-2</v>
      </c>
      <c r="J7" s="34">
        <v>0.15262000000000001</v>
      </c>
      <c r="K7" s="35">
        <v>6.9999999999999999E-4</v>
      </c>
      <c r="L7" s="34">
        <v>0.13825999999999999</v>
      </c>
      <c r="M7" s="35">
        <v>2.3E-3</v>
      </c>
      <c r="N7" s="34">
        <v>0.14321</v>
      </c>
      <c r="O7" s="35">
        <v>1.6000000000000001E-3</v>
      </c>
      <c r="P7" s="34">
        <v>9.2079999999999995E-2</v>
      </c>
      <c r="Q7" s="35">
        <v>4.2700000000000002E-2</v>
      </c>
    </row>
    <row r="8" spans="1:17" x14ac:dyDescent="0.35">
      <c r="A8" s="62" t="s">
        <v>291</v>
      </c>
      <c r="B8" s="7">
        <v>8.2989999999999994E-2</v>
      </c>
      <c r="C8" s="9">
        <v>7.9299999999999995E-2</v>
      </c>
      <c r="D8" s="7">
        <v>6.9010000000000002E-2</v>
      </c>
      <c r="E8" s="9">
        <v>0.1447</v>
      </c>
      <c r="F8" s="7">
        <v>-4.9250000000000002E-2</v>
      </c>
      <c r="G8" s="9">
        <v>0.29830000000000001</v>
      </c>
      <c r="H8" s="7">
        <v>-4.2999999999999997E-2</v>
      </c>
      <c r="I8" s="9">
        <v>0.36380000000000001</v>
      </c>
      <c r="J8" s="7">
        <v>0.14602000000000001</v>
      </c>
      <c r="K8" s="9">
        <v>1.1999999999999999E-3</v>
      </c>
      <c r="L8" s="7">
        <v>0.13846</v>
      </c>
      <c r="M8" s="9">
        <v>2.3E-3</v>
      </c>
      <c r="N8" s="7">
        <v>0.1183</v>
      </c>
      <c r="O8" s="9">
        <v>9.1000000000000004E-3</v>
      </c>
      <c r="P8" s="7">
        <v>8.8440000000000005E-2</v>
      </c>
      <c r="Q8" s="9">
        <v>5.16E-2</v>
      </c>
    </row>
    <row r="9" spans="1:17" x14ac:dyDescent="0.35">
      <c r="A9" s="36" t="s">
        <v>292</v>
      </c>
      <c r="B9" s="37">
        <v>5.04E-2</v>
      </c>
      <c r="C9" s="38">
        <v>0.28710000000000002</v>
      </c>
      <c r="D9" s="37">
        <v>5.8430000000000003E-2</v>
      </c>
      <c r="E9" s="38">
        <v>0.21709999999999999</v>
      </c>
      <c r="F9" s="37">
        <v>-1.593E-2</v>
      </c>
      <c r="G9" s="38">
        <v>0.73670000000000002</v>
      </c>
      <c r="H9" s="37">
        <v>-4.802E-2</v>
      </c>
      <c r="I9" s="38">
        <v>0.3105</v>
      </c>
      <c r="J9" s="37">
        <v>0.14124</v>
      </c>
      <c r="K9" s="38">
        <v>1.8E-3</v>
      </c>
      <c r="L9" s="37">
        <v>0.13228000000000001</v>
      </c>
      <c r="M9" s="38">
        <v>3.5999999999999999E-3</v>
      </c>
      <c r="N9" s="37">
        <v>0.12151000000000001</v>
      </c>
      <c r="O9" s="38">
        <v>7.4000000000000003E-3</v>
      </c>
      <c r="P9" s="37">
        <v>9.2899999999999996E-2</v>
      </c>
      <c r="Q9" s="38">
        <v>4.0899999999999999E-2</v>
      </c>
    </row>
    <row r="10" spans="1:17" x14ac:dyDescent="0.35">
      <c r="A10" s="33" t="s">
        <v>293</v>
      </c>
      <c r="B10" s="34">
        <v>-1.6580000000000001E-2</v>
      </c>
      <c r="C10" s="35">
        <v>0.72640000000000005</v>
      </c>
      <c r="D10" s="34">
        <v>-2.513E-2</v>
      </c>
      <c r="E10" s="35">
        <v>0.59570000000000001</v>
      </c>
      <c r="F10" s="34">
        <v>-7.77E-3</v>
      </c>
      <c r="G10" s="35">
        <v>0.86980000000000002</v>
      </c>
      <c r="H10" s="34">
        <v>-7.6630000000000004E-2</v>
      </c>
      <c r="I10" s="35">
        <v>0.1053</v>
      </c>
      <c r="J10" s="34">
        <v>7.6399999999999996E-2</v>
      </c>
      <c r="K10" s="35">
        <v>9.1800000000000007E-2</v>
      </c>
      <c r="L10" s="34">
        <v>7.8969999999999999E-2</v>
      </c>
      <c r="M10" s="35">
        <v>8.2600000000000007E-2</v>
      </c>
      <c r="N10" s="34">
        <v>5.4960000000000002E-2</v>
      </c>
      <c r="O10" s="35">
        <v>0.22700000000000001</v>
      </c>
      <c r="P10" s="34">
        <v>3.7650000000000003E-2</v>
      </c>
      <c r="Q10" s="35">
        <v>0.40799999999999997</v>
      </c>
    </row>
    <row r="11" spans="1:17" x14ac:dyDescent="0.35">
      <c r="A11" s="62" t="s">
        <v>294</v>
      </c>
      <c r="B11" s="7">
        <v>-2.4080000000000001E-2</v>
      </c>
      <c r="C11" s="9">
        <v>0.61119999999999997</v>
      </c>
      <c r="D11" s="7">
        <v>-0.04</v>
      </c>
      <c r="E11" s="9">
        <v>0.39829999999999999</v>
      </c>
      <c r="F11" s="7">
        <v>5.7889999999999997E-2</v>
      </c>
      <c r="G11" s="9">
        <v>0.22140000000000001</v>
      </c>
      <c r="H11" s="7">
        <v>-5.3159999999999999E-2</v>
      </c>
      <c r="I11" s="9">
        <v>0.26150000000000001</v>
      </c>
      <c r="J11" s="7">
        <v>0.14976999999999999</v>
      </c>
      <c r="K11" s="9">
        <v>8.9999999999999998E-4</v>
      </c>
      <c r="L11" s="7">
        <v>0.14030999999999999</v>
      </c>
      <c r="M11" s="9">
        <v>2E-3</v>
      </c>
      <c r="N11" s="7">
        <v>0.18365999999999999</v>
      </c>
      <c r="O11" s="9">
        <v>1E-4</v>
      </c>
      <c r="P11" s="7">
        <v>5.6079999999999998E-2</v>
      </c>
      <c r="Q11" s="9">
        <v>0.21759999999999999</v>
      </c>
    </row>
    <row r="12" spans="1:17" x14ac:dyDescent="0.35">
      <c r="A12" s="62" t="s">
        <v>295</v>
      </c>
      <c r="B12" s="7">
        <v>4.0899999999999999E-2</v>
      </c>
      <c r="C12" s="9">
        <v>0.38779999999999998</v>
      </c>
      <c r="D12" s="7">
        <v>2.7640000000000001E-2</v>
      </c>
      <c r="E12" s="9">
        <v>0.5595</v>
      </c>
      <c r="F12" s="7">
        <v>1.294E-2</v>
      </c>
      <c r="G12" s="9">
        <v>0.78469999999999995</v>
      </c>
      <c r="H12" s="7">
        <v>-6.8199999999999997E-2</v>
      </c>
      <c r="I12" s="9">
        <v>0.14949999999999999</v>
      </c>
      <c r="J12" s="7">
        <v>0.15667</v>
      </c>
      <c r="K12" s="9">
        <v>5.0000000000000001E-4</v>
      </c>
      <c r="L12" s="7">
        <v>0.12044000000000001</v>
      </c>
      <c r="M12" s="9">
        <v>8.0000000000000002E-3</v>
      </c>
      <c r="N12" s="7">
        <v>0.15126999999999999</v>
      </c>
      <c r="O12" s="9">
        <v>8.0000000000000004E-4</v>
      </c>
      <c r="P12" s="7">
        <v>0.11819</v>
      </c>
      <c r="Q12" s="9">
        <v>9.1999999999999998E-3</v>
      </c>
    </row>
    <row r="13" spans="1:17" x14ac:dyDescent="0.35">
      <c r="A13" s="62" t="s">
        <v>296</v>
      </c>
      <c r="B13" s="7">
        <v>-1.584E-2</v>
      </c>
      <c r="C13" s="9">
        <v>0.73809999999999998</v>
      </c>
      <c r="D13" s="7">
        <v>1.17E-2</v>
      </c>
      <c r="E13" s="9">
        <v>0.80500000000000005</v>
      </c>
      <c r="F13" s="7">
        <v>6.2729999999999994E-2</v>
      </c>
      <c r="G13" s="9">
        <v>0.18509999999999999</v>
      </c>
      <c r="H13" s="7">
        <v>-5.7889999999999997E-2</v>
      </c>
      <c r="I13" s="9">
        <v>0.22140000000000001</v>
      </c>
      <c r="J13" s="7">
        <v>8.3470000000000003E-2</v>
      </c>
      <c r="K13" s="9">
        <v>6.54E-2</v>
      </c>
      <c r="L13" s="7">
        <v>7.8469999999999998E-2</v>
      </c>
      <c r="M13" s="9">
        <v>8.4599999999999995E-2</v>
      </c>
      <c r="N13" s="7">
        <v>8.4900000000000003E-2</v>
      </c>
      <c r="O13" s="9">
        <v>6.1699999999999998E-2</v>
      </c>
      <c r="P13" s="7">
        <v>3.7920000000000002E-2</v>
      </c>
      <c r="Q13" s="9">
        <v>0.4047</v>
      </c>
    </row>
    <row r="14" spans="1:17" x14ac:dyDescent="0.35">
      <c r="A14" s="62" t="s">
        <v>297</v>
      </c>
      <c r="B14" s="7">
        <v>-3.7940000000000002E-2</v>
      </c>
      <c r="C14" s="9">
        <v>0.42299999999999999</v>
      </c>
      <c r="D14" s="7">
        <v>-3.0980000000000001E-2</v>
      </c>
      <c r="E14" s="9">
        <v>0.5131</v>
      </c>
      <c r="F14" s="7">
        <v>1.9349999999999999E-2</v>
      </c>
      <c r="G14" s="9">
        <v>0.68289999999999995</v>
      </c>
      <c r="H14" s="7">
        <v>2.0049999999999998E-2</v>
      </c>
      <c r="I14" s="9">
        <v>0.67210000000000003</v>
      </c>
      <c r="J14" s="7">
        <v>-7.3499999999999998E-3</v>
      </c>
      <c r="K14" s="9">
        <v>0.87129999999999996</v>
      </c>
      <c r="L14" s="7">
        <v>9.4199999999999996E-3</v>
      </c>
      <c r="M14" s="9">
        <v>0.83630000000000004</v>
      </c>
      <c r="N14" s="7">
        <v>1.5339999999999999E-2</v>
      </c>
      <c r="O14" s="9">
        <v>0.73609999999999998</v>
      </c>
      <c r="P14" s="7">
        <v>-3.2039999999999999E-2</v>
      </c>
      <c r="Q14" s="9">
        <v>0.48149999999999998</v>
      </c>
    </row>
    <row r="15" spans="1:17" x14ac:dyDescent="0.35">
      <c r="A15" s="62" t="s">
        <v>298</v>
      </c>
      <c r="B15" s="7">
        <v>6.7000000000000004E-2</v>
      </c>
      <c r="C15" s="9">
        <v>0.15679999999999999</v>
      </c>
      <c r="D15" s="7">
        <v>2.5000000000000001E-2</v>
      </c>
      <c r="E15" s="9">
        <v>0.59770000000000001</v>
      </c>
      <c r="F15" s="7">
        <v>-3.116E-2</v>
      </c>
      <c r="G15" s="9">
        <v>0.51060000000000005</v>
      </c>
      <c r="H15" s="7">
        <v>-7.0919999999999997E-2</v>
      </c>
      <c r="I15" s="9">
        <v>0.13400000000000001</v>
      </c>
      <c r="J15" s="7">
        <v>0.17979999999999999</v>
      </c>
      <c r="K15" s="9">
        <v>1E-4</v>
      </c>
      <c r="L15" s="7">
        <v>0.14238000000000001</v>
      </c>
      <c r="M15" s="9">
        <v>1.6999999999999999E-3</v>
      </c>
      <c r="N15" s="7">
        <v>0.17474999999999999</v>
      </c>
      <c r="O15" s="9">
        <v>1E-4</v>
      </c>
      <c r="P15" s="7">
        <v>0.11111</v>
      </c>
      <c r="Q15" s="9">
        <v>1.44E-2</v>
      </c>
    </row>
    <row r="16" spans="1:17" x14ac:dyDescent="0.35">
      <c r="A16" s="62" t="s">
        <v>299</v>
      </c>
      <c r="B16" s="7">
        <v>3.1179999999999999E-2</v>
      </c>
      <c r="C16" s="9">
        <v>0.51039999999999996</v>
      </c>
      <c r="D16" s="7">
        <v>7.8310000000000005E-2</v>
      </c>
      <c r="E16" s="9">
        <v>9.7799999999999998E-2</v>
      </c>
      <c r="F16" s="7">
        <v>-7.4160000000000004E-2</v>
      </c>
      <c r="G16" s="9">
        <v>0.11700000000000001</v>
      </c>
      <c r="H16" s="7">
        <v>1.8400000000000001E-3</v>
      </c>
      <c r="I16" s="9">
        <v>0.96909999999999996</v>
      </c>
      <c r="J16" s="7">
        <v>4.1730000000000003E-2</v>
      </c>
      <c r="K16" s="9">
        <v>0.35770000000000002</v>
      </c>
      <c r="L16" s="7">
        <v>4.9500000000000002E-2</v>
      </c>
      <c r="M16" s="9">
        <v>0.27710000000000001</v>
      </c>
      <c r="N16" s="7">
        <v>8.5999999999999998E-4</v>
      </c>
      <c r="O16" s="9">
        <v>0.9849</v>
      </c>
      <c r="P16" s="7">
        <v>3.7850000000000002E-2</v>
      </c>
      <c r="Q16" s="9">
        <v>0.40560000000000002</v>
      </c>
    </row>
    <row r="17" spans="1:17" x14ac:dyDescent="0.35">
      <c r="A17" s="62" t="s">
        <v>402</v>
      </c>
      <c r="B17" s="7">
        <v>8.4589999999999999E-2</v>
      </c>
      <c r="C17" s="9">
        <v>7.3700000000000002E-2</v>
      </c>
      <c r="D17" s="7">
        <v>8.9130000000000001E-2</v>
      </c>
      <c r="E17" s="9">
        <v>5.9400000000000001E-2</v>
      </c>
      <c r="F17" s="7">
        <v>-4.1999999999999997E-3</v>
      </c>
      <c r="G17" s="9">
        <v>0.9294</v>
      </c>
      <c r="H17" s="7">
        <v>1.609E-2</v>
      </c>
      <c r="I17" s="9">
        <v>0.73409999999999997</v>
      </c>
      <c r="J17" s="7">
        <v>6.9760000000000003E-2</v>
      </c>
      <c r="K17" s="9">
        <v>0.12379999999999999</v>
      </c>
      <c r="L17" s="7">
        <v>8.6800000000000002E-2</v>
      </c>
      <c r="M17" s="9">
        <v>5.6399999999999999E-2</v>
      </c>
      <c r="N17" s="7">
        <v>5.8409999999999997E-2</v>
      </c>
      <c r="O17" s="9">
        <v>0.1991</v>
      </c>
      <c r="P17" s="7">
        <v>2.2159999999999999E-2</v>
      </c>
      <c r="Q17" s="9">
        <v>0.62629999999999997</v>
      </c>
    </row>
    <row r="18" spans="1:17" x14ac:dyDescent="0.35">
      <c r="A18" s="62" t="s">
        <v>300</v>
      </c>
      <c r="B18" s="7">
        <v>4.9799999999999997E-2</v>
      </c>
      <c r="C18" s="9">
        <v>0.29299999999999998</v>
      </c>
      <c r="D18" s="7">
        <v>4.6850000000000003E-2</v>
      </c>
      <c r="E18" s="9">
        <v>0.32240000000000002</v>
      </c>
      <c r="F18" s="7">
        <v>-6.9199999999999999E-3</v>
      </c>
      <c r="G18" s="9">
        <v>0.88380000000000003</v>
      </c>
      <c r="H18" s="7">
        <v>-6.4380000000000007E-2</v>
      </c>
      <c r="I18" s="9">
        <v>0.17369999999999999</v>
      </c>
      <c r="J18" s="7">
        <v>0.16872999999999999</v>
      </c>
      <c r="K18" s="9">
        <v>2.0000000000000001E-4</v>
      </c>
      <c r="L18" s="7">
        <v>0.16592000000000001</v>
      </c>
      <c r="M18" s="9">
        <v>2.0000000000000001E-4</v>
      </c>
      <c r="N18" s="7">
        <v>0.12988</v>
      </c>
      <c r="O18" s="9">
        <v>4.1999999999999997E-3</v>
      </c>
      <c r="P18" s="7">
        <v>0.11694</v>
      </c>
      <c r="Q18" s="9">
        <v>0.01</v>
      </c>
    </row>
    <row r="19" spans="1:17" x14ac:dyDescent="0.35">
      <c r="A19" s="62" t="s">
        <v>301</v>
      </c>
      <c r="B19" s="7">
        <v>5.8970000000000002E-2</v>
      </c>
      <c r="C19" s="9">
        <v>0.21279999999999999</v>
      </c>
      <c r="D19" s="7">
        <v>7.7189999999999995E-2</v>
      </c>
      <c r="E19" s="9">
        <v>0.1028</v>
      </c>
      <c r="F19" s="7">
        <v>-1.5890000000000001E-2</v>
      </c>
      <c r="G19" s="9">
        <v>0.73729999999999996</v>
      </c>
      <c r="H19" s="7">
        <v>-4.6780000000000002E-2</v>
      </c>
      <c r="I19" s="9">
        <v>0.32319999999999999</v>
      </c>
      <c r="J19" s="7">
        <v>0.14513000000000001</v>
      </c>
      <c r="K19" s="9">
        <v>1.2999999999999999E-3</v>
      </c>
      <c r="L19" s="7">
        <v>0.12436999999999999</v>
      </c>
      <c r="M19" s="9">
        <v>6.1000000000000004E-3</v>
      </c>
      <c r="N19" s="7">
        <v>0.12495000000000001</v>
      </c>
      <c r="O19" s="9">
        <v>5.8999999999999999E-3</v>
      </c>
      <c r="P19" s="7">
        <v>0.10607999999999999</v>
      </c>
      <c r="Q19" s="9">
        <v>1.95E-2</v>
      </c>
    </row>
    <row r="20" spans="1:17" x14ac:dyDescent="0.35">
      <c r="A20" s="62" t="s">
        <v>302</v>
      </c>
      <c r="B20" s="7">
        <v>2.3199999999999998E-2</v>
      </c>
      <c r="C20" s="9">
        <v>0.62429999999999997</v>
      </c>
      <c r="D20" s="7">
        <v>3.4450000000000001E-2</v>
      </c>
      <c r="E20" s="9">
        <v>0.46700000000000003</v>
      </c>
      <c r="F20" s="7">
        <v>-2.214E-2</v>
      </c>
      <c r="G20" s="9">
        <v>0.64019999999999999</v>
      </c>
      <c r="H20" s="7">
        <v>-6.0609999999999997E-2</v>
      </c>
      <c r="I20" s="9">
        <v>0.20039999999999999</v>
      </c>
      <c r="J20" s="7">
        <v>0.14607999999999999</v>
      </c>
      <c r="K20" s="9">
        <v>1.1999999999999999E-3</v>
      </c>
      <c r="L20" s="7">
        <v>0.13431999999999999</v>
      </c>
      <c r="M20" s="9">
        <v>3.0999999999999999E-3</v>
      </c>
      <c r="N20" s="7">
        <v>0.10974</v>
      </c>
      <c r="O20" s="9">
        <v>1.5599999999999999E-2</v>
      </c>
      <c r="P20" s="7">
        <v>0.11567</v>
      </c>
      <c r="Q20" s="9">
        <v>1.0800000000000001E-2</v>
      </c>
    </row>
    <row r="21" spans="1:17" x14ac:dyDescent="0.35">
      <c r="A21" s="62" t="s">
        <v>303</v>
      </c>
      <c r="B21" s="7">
        <v>8.6199999999999999E-2</v>
      </c>
      <c r="C21" s="9">
        <v>6.83E-2</v>
      </c>
      <c r="D21" s="7">
        <v>7.6530000000000001E-2</v>
      </c>
      <c r="E21" s="9">
        <v>0.1057</v>
      </c>
      <c r="F21" s="7">
        <v>-3.0179999999999998E-2</v>
      </c>
      <c r="G21" s="9">
        <v>0.52400000000000002</v>
      </c>
      <c r="H21" s="7">
        <v>-3.2000000000000003E-4</v>
      </c>
      <c r="I21" s="9">
        <v>0.99460000000000004</v>
      </c>
      <c r="J21" s="7">
        <v>7.9280000000000003E-2</v>
      </c>
      <c r="K21" s="9">
        <v>8.0199999999999994E-2</v>
      </c>
      <c r="L21" s="7">
        <v>7.3950000000000002E-2</v>
      </c>
      <c r="M21" s="9">
        <v>0.1042</v>
      </c>
      <c r="N21" s="7">
        <v>8.7279999999999996E-2</v>
      </c>
      <c r="O21" s="9">
        <v>5.4800000000000001E-2</v>
      </c>
      <c r="P21" s="7">
        <v>3.2050000000000002E-2</v>
      </c>
      <c r="Q21" s="9">
        <v>0.48130000000000001</v>
      </c>
    </row>
    <row r="22" spans="1:17" x14ac:dyDescent="0.35">
      <c r="A22" s="62" t="s">
        <v>304</v>
      </c>
      <c r="B22" s="7">
        <v>5.2049999999999999E-2</v>
      </c>
      <c r="C22" s="9">
        <v>0.27160000000000001</v>
      </c>
      <c r="D22" s="7">
        <v>7.639E-2</v>
      </c>
      <c r="E22" s="9">
        <v>0.10639999999999999</v>
      </c>
      <c r="F22" s="7">
        <v>1.18E-2</v>
      </c>
      <c r="G22" s="9">
        <v>0.80320000000000003</v>
      </c>
      <c r="H22" s="7">
        <v>-3.4630000000000001E-2</v>
      </c>
      <c r="I22" s="9">
        <v>0.4647</v>
      </c>
      <c r="J22" s="7">
        <v>9.8400000000000001E-2</v>
      </c>
      <c r="K22" s="9">
        <v>2.9700000000000001E-2</v>
      </c>
      <c r="L22" s="7">
        <v>8.4349999999999994E-2</v>
      </c>
      <c r="M22" s="9">
        <v>6.3700000000000007E-2</v>
      </c>
      <c r="N22" s="7">
        <v>0.10008</v>
      </c>
      <c r="O22" s="9">
        <v>2.75E-2</v>
      </c>
      <c r="P22" s="7">
        <v>5.9200000000000003E-2</v>
      </c>
      <c r="Q22" s="9">
        <v>0.19309999999999999</v>
      </c>
    </row>
    <row r="23" spans="1:17" x14ac:dyDescent="0.35">
      <c r="A23" s="36" t="s">
        <v>305</v>
      </c>
      <c r="B23" s="37">
        <v>-1.73E-3</v>
      </c>
      <c r="C23" s="38">
        <v>0.97089999999999999</v>
      </c>
      <c r="D23" s="37">
        <v>3.5369999999999999E-2</v>
      </c>
      <c r="E23" s="38">
        <v>0.45519999999999999</v>
      </c>
      <c r="F23" s="37">
        <v>-1.069E-2</v>
      </c>
      <c r="G23" s="38">
        <v>0.82150000000000001</v>
      </c>
      <c r="H23" s="37">
        <v>-5.1180000000000003E-2</v>
      </c>
      <c r="I23" s="38">
        <v>0.2797</v>
      </c>
      <c r="J23" s="37">
        <v>0.13946</v>
      </c>
      <c r="K23" s="38">
        <v>2E-3</v>
      </c>
      <c r="L23" s="37">
        <v>0.1484</v>
      </c>
      <c r="M23" s="38">
        <v>1.1000000000000001E-3</v>
      </c>
      <c r="N23" s="37">
        <v>0.11096</v>
      </c>
      <c r="O23" s="38">
        <v>1.4500000000000001E-2</v>
      </c>
      <c r="P23" s="37">
        <v>7.8710000000000002E-2</v>
      </c>
      <c r="Q23" s="38">
        <v>8.3299999999999999E-2</v>
      </c>
    </row>
  </sheetData>
  <mergeCells count="10">
    <mergeCell ref="B2:I2"/>
    <mergeCell ref="J2:Q2"/>
    <mergeCell ref="B3:C3"/>
    <mergeCell ref="D3:E3"/>
    <mergeCell ref="F3:G3"/>
    <mergeCell ref="H3:I3"/>
    <mergeCell ref="J3:K3"/>
    <mergeCell ref="L3:M3"/>
    <mergeCell ref="N3:O3"/>
    <mergeCell ref="P3:Q3"/>
  </mergeCells>
  <conditionalFormatting sqref="C1:C1048576 E1:E1048576 G1:G1048576 I1:I1048576 K1:K1048576 M1:M1048576 O1:O1048576 Q1:Q1048576">
    <cfRule type="containsBlanks" priority="1" stopIfTrue="1">
      <formula>LEN(TRIM(C1))=0</formula>
    </cfRule>
    <cfRule type="cellIs" dxfId="3" priority="2" stopIfTrue="1" operator="lessThan">
      <formula>0.01</formula>
    </cfRule>
    <cfRule type="cellIs" dxfId="2" priority="3" operator="lessThan">
      <formula>0.05</formula>
    </cfRule>
  </conditionalFormatting>
  <pageMargins left="0.7" right="0.7" top="0.75" bottom="0.75" header="0.3" footer="0.3"/>
  <headerFooter>
    <oddFooter>&amp;L_x000D_&amp;1#&amp;"Aptos"&amp;10&amp;K000000 St. Jude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796ED-77F2-4250-8C57-F0E1BBAA5AEC}">
  <dimension ref="A2:Q35"/>
  <sheetViews>
    <sheetView zoomScale="76" zoomScaleNormal="80" workbookViewId="0">
      <pane ySplit="4" topLeftCell="A24" activePane="bottomLeft" state="frozen"/>
      <selection activeCell="A41" sqref="A41"/>
      <selection pane="bottomLeft" activeCell="Q35" sqref="A6:Q35"/>
    </sheetView>
  </sheetViews>
  <sheetFormatPr defaultRowHeight="14.5" x14ac:dyDescent="0.35"/>
  <cols>
    <col min="1" max="1" width="52.453125" customWidth="1"/>
    <col min="2" max="2" width="7.81640625" style="7" customWidth="1"/>
    <col min="3" max="3" width="7.7265625" style="9" customWidth="1"/>
    <col min="4" max="4" width="7.7265625" style="7" customWidth="1"/>
    <col min="5" max="5" width="7.7265625" style="9" customWidth="1"/>
    <col min="6" max="6" width="7.7265625" style="7" customWidth="1"/>
    <col min="7" max="7" width="7.7265625" style="9" customWidth="1"/>
    <col min="8" max="8" width="7.7265625" style="7" customWidth="1"/>
    <col min="9" max="9" width="7.7265625" style="9" customWidth="1"/>
    <col min="10" max="10" width="7.7265625" style="7" customWidth="1"/>
    <col min="11" max="11" width="7.7265625" style="9" customWidth="1"/>
    <col min="12" max="12" width="7.7265625" style="7" customWidth="1"/>
    <col min="13" max="13" width="7.7265625" style="9" customWidth="1"/>
    <col min="14" max="14" width="7.7265625" style="7" customWidth="1"/>
    <col min="15" max="15" width="7.7265625" style="9" customWidth="1"/>
    <col min="16" max="16" width="7.7265625" style="7" customWidth="1"/>
    <col min="17" max="17" width="7.7265625" style="9" customWidth="1"/>
  </cols>
  <sheetData>
    <row r="2" spans="1:17" x14ac:dyDescent="0.35">
      <c r="B2" s="71" t="s">
        <v>33</v>
      </c>
      <c r="C2" s="71"/>
      <c r="D2" s="71"/>
      <c r="E2" s="71"/>
      <c r="F2" s="71"/>
      <c r="G2" s="71"/>
      <c r="H2" s="71"/>
      <c r="I2" s="71"/>
      <c r="J2" s="71" t="s">
        <v>38</v>
      </c>
      <c r="K2" s="71"/>
      <c r="L2" s="71"/>
      <c r="M2" s="71"/>
      <c r="N2" s="71"/>
      <c r="O2" s="71"/>
      <c r="P2" s="71"/>
      <c r="Q2" s="71"/>
    </row>
    <row r="3" spans="1:17" x14ac:dyDescent="0.35">
      <c r="B3" s="72" t="s">
        <v>27</v>
      </c>
      <c r="C3" s="72"/>
      <c r="D3" s="72" t="s">
        <v>30</v>
      </c>
      <c r="E3" s="72"/>
      <c r="F3" s="72" t="s">
        <v>31</v>
      </c>
      <c r="G3" s="72"/>
      <c r="H3" s="72" t="s">
        <v>32</v>
      </c>
      <c r="I3" s="72"/>
      <c r="J3" s="73" t="s">
        <v>34</v>
      </c>
      <c r="K3" s="73"/>
      <c r="L3" s="73" t="s">
        <v>35</v>
      </c>
      <c r="M3" s="73"/>
      <c r="N3" s="73" t="s">
        <v>36</v>
      </c>
      <c r="O3" s="73"/>
      <c r="P3" s="73" t="s">
        <v>37</v>
      </c>
      <c r="Q3" s="73"/>
    </row>
    <row r="4" spans="1:17" x14ac:dyDescent="0.35">
      <c r="B4" s="8" t="s">
        <v>28</v>
      </c>
      <c r="C4" s="10" t="s">
        <v>29</v>
      </c>
      <c r="D4" s="8" t="s">
        <v>28</v>
      </c>
      <c r="E4" s="10" t="s">
        <v>29</v>
      </c>
      <c r="F4" s="8" t="s">
        <v>28</v>
      </c>
      <c r="G4" s="10" t="s">
        <v>29</v>
      </c>
      <c r="H4" s="8" t="s">
        <v>28</v>
      </c>
      <c r="I4" s="10" t="s">
        <v>29</v>
      </c>
      <c r="J4" s="8" t="s">
        <v>28</v>
      </c>
      <c r="K4" s="10" t="s">
        <v>29</v>
      </c>
      <c r="L4" s="8" t="s">
        <v>28</v>
      </c>
      <c r="M4" s="10" t="s">
        <v>29</v>
      </c>
      <c r="N4" s="8" t="s">
        <v>28</v>
      </c>
      <c r="O4" s="10" t="s">
        <v>29</v>
      </c>
      <c r="P4" s="8" t="s">
        <v>28</v>
      </c>
      <c r="Q4" s="10" t="s">
        <v>29</v>
      </c>
    </row>
    <row r="5" spans="1:17" x14ac:dyDescent="0.35">
      <c r="A5" s="2" t="s">
        <v>265</v>
      </c>
    </row>
    <row r="6" spans="1:17" x14ac:dyDescent="0.35">
      <c r="A6" s="33" t="s">
        <v>156</v>
      </c>
      <c r="B6" s="34">
        <v>7.0830000000000004E-2</v>
      </c>
      <c r="C6" s="35">
        <v>0.13439999999999999</v>
      </c>
      <c r="D6" s="34">
        <v>8.5339999999999999E-2</v>
      </c>
      <c r="E6" s="35">
        <v>7.1099999999999997E-2</v>
      </c>
      <c r="F6" s="34">
        <v>3.5299999999999998E-2</v>
      </c>
      <c r="G6" s="35">
        <v>0.45610000000000001</v>
      </c>
      <c r="H6" s="34">
        <v>-3.916E-2</v>
      </c>
      <c r="I6" s="35">
        <v>0.4083</v>
      </c>
      <c r="J6" s="34">
        <v>-4.0960000000000003E-2</v>
      </c>
      <c r="K6" s="35">
        <v>0.36649999999999999</v>
      </c>
      <c r="L6" s="34">
        <v>-1.3220000000000001E-2</v>
      </c>
      <c r="M6" s="35">
        <v>0.77180000000000004</v>
      </c>
      <c r="N6" s="34">
        <v>-8.8090000000000002E-2</v>
      </c>
      <c r="O6" s="35">
        <v>5.2499999999999998E-2</v>
      </c>
      <c r="P6" s="34">
        <v>-1.042E-2</v>
      </c>
      <c r="Q6" s="35">
        <v>0.81889999999999996</v>
      </c>
    </row>
    <row r="7" spans="1:17" x14ac:dyDescent="0.35">
      <c r="A7" s="62" t="s">
        <v>158</v>
      </c>
      <c r="B7" s="7">
        <v>6.4339999999999994E-2</v>
      </c>
      <c r="C7" s="9">
        <v>0.17399999999999999</v>
      </c>
      <c r="D7" s="7">
        <v>9.4329999999999997E-2</v>
      </c>
      <c r="E7" s="9">
        <v>4.5999999999999999E-2</v>
      </c>
      <c r="F7" s="7">
        <v>1.52E-2</v>
      </c>
      <c r="G7" s="9">
        <v>0.74829999999999997</v>
      </c>
      <c r="H7" s="7">
        <v>-2.1160000000000002E-2</v>
      </c>
      <c r="I7" s="9">
        <v>0.6552</v>
      </c>
      <c r="J7" s="7">
        <v>1.078E-2</v>
      </c>
      <c r="K7" s="9">
        <v>0.81230000000000002</v>
      </c>
      <c r="L7" s="7">
        <v>2.4199999999999999E-2</v>
      </c>
      <c r="M7" s="9">
        <v>0.59540000000000004</v>
      </c>
      <c r="N7" s="7">
        <v>-2.6079999999999999E-2</v>
      </c>
      <c r="O7" s="9">
        <v>0.56669999999999998</v>
      </c>
      <c r="P7" s="7">
        <v>1.8329999999999999E-2</v>
      </c>
      <c r="Q7" s="9">
        <v>0.68730000000000002</v>
      </c>
    </row>
    <row r="8" spans="1:17" x14ac:dyDescent="0.35">
      <c r="A8" s="62" t="s">
        <v>159</v>
      </c>
      <c r="B8" s="7">
        <v>7.1510000000000004E-2</v>
      </c>
      <c r="C8" s="9">
        <v>0.13070000000000001</v>
      </c>
      <c r="D8" s="7">
        <v>8.7239999999999998E-2</v>
      </c>
      <c r="E8" s="9">
        <v>6.5000000000000002E-2</v>
      </c>
      <c r="F8" s="7">
        <v>3.7159999999999999E-2</v>
      </c>
      <c r="G8" s="9">
        <v>0.43269999999999997</v>
      </c>
      <c r="H8" s="7">
        <v>-3.8170000000000003E-2</v>
      </c>
      <c r="I8" s="9">
        <v>0.42030000000000001</v>
      </c>
      <c r="J8" s="7">
        <v>-4.3749999999999997E-2</v>
      </c>
      <c r="K8" s="9">
        <v>0.33479999999999999</v>
      </c>
      <c r="L8" s="7">
        <v>-1.668E-2</v>
      </c>
      <c r="M8" s="9">
        <v>0.71440000000000003</v>
      </c>
      <c r="N8" s="7">
        <v>-9.1289999999999996E-2</v>
      </c>
      <c r="O8" s="9">
        <v>4.4499999999999998E-2</v>
      </c>
      <c r="P8" s="7">
        <v>-1.0540000000000001E-2</v>
      </c>
      <c r="Q8" s="9">
        <v>0.81689999999999996</v>
      </c>
    </row>
    <row r="9" spans="1:17" x14ac:dyDescent="0.35">
      <c r="A9" s="62" t="s">
        <v>160</v>
      </c>
      <c r="B9" s="7">
        <v>7.0489999999999997E-2</v>
      </c>
      <c r="C9" s="9">
        <v>0.1363</v>
      </c>
      <c r="D9" s="7">
        <v>8.498E-2</v>
      </c>
      <c r="E9" s="9">
        <v>7.2400000000000006E-2</v>
      </c>
      <c r="F9" s="7">
        <v>3.6900000000000002E-2</v>
      </c>
      <c r="G9" s="9">
        <v>0.436</v>
      </c>
      <c r="H9" s="7">
        <v>-3.7600000000000001E-2</v>
      </c>
      <c r="I9" s="9">
        <v>0.42730000000000001</v>
      </c>
      <c r="J9" s="7">
        <v>-4.4909999999999999E-2</v>
      </c>
      <c r="K9" s="9">
        <v>0.3221</v>
      </c>
      <c r="L9" s="7">
        <v>-1.601E-2</v>
      </c>
      <c r="M9" s="9">
        <v>0.72540000000000004</v>
      </c>
      <c r="N9" s="7">
        <v>-9.1649999999999995E-2</v>
      </c>
      <c r="O9" s="9">
        <v>4.3700000000000003E-2</v>
      </c>
      <c r="P9" s="7">
        <v>-1.3849999999999999E-2</v>
      </c>
      <c r="Q9" s="9">
        <v>0.76090000000000002</v>
      </c>
    </row>
    <row r="10" spans="1:17" x14ac:dyDescent="0.35">
      <c r="A10" s="62" t="s">
        <v>161</v>
      </c>
      <c r="B10" s="7">
        <v>6.9809999999999997E-2</v>
      </c>
      <c r="C10" s="9">
        <v>0.1401</v>
      </c>
      <c r="D10" s="7">
        <v>8.7290000000000006E-2</v>
      </c>
      <c r="E10" s="9">
        <v>6.4899999999999999E-2</v>
      </c>
      <c r="F10" s="7">
        <v>4.1709999999999997E-2</v>
      </c>
      <c r="G10" s="9">
        <v>0.37840000000000001</v>
      </c>
      <c r="H10" s="7">
        <v>-4.2360000000000002E-2</v>
      </c>
      <c r="I10" s="9">
        <v>0.37109999999999999</v>
      </c>
      <c r="J10" s="7">
        <v>-2.7119999999999998E-2</v>
      </c>
      <c r="K10" s="9">
        <v>0.55000000000000004</v>
      </c>
      <c r="L10" s="7">
        <v>-4.3200000000000001E-3</v>
      </c>
      <c r="M10" s="9">
        <v>0.92449999999999999</v>
      </c>
      <c r="N10" s="7">
        <v>-7.442E-2</v>
      </c>
      <c r="O10" s="9">
        <v>0.1016</v>
      </c>
      <c r="P10" s="7">
        <v>2.2399999999999998E-3</v>
      </c>
      <c r="Q10" s="9">
        <v>0.96079999999999999</v>
      </c>
    </row>
    <row r="11" spans="1:17" x14ac:dyDescent="0.35">
      <c r="A11" s="62" t="s">
        <v>162</v>
      </c>
      <c r="B11" s="7">
        <v>2.2349999999999998E-2</v>
      </c>
      <c r="C11" s="9">
        <v>0.6371</v>
      </c>
      <c r="D11" s="7">
        <v>5.5300000000000002E-2</v>
      </c>
      <c r="E11" s="9">
        <v>0.24279999999999999</v>
      </c>
      <c r="F11" s="7">
        <v>-3.848E-2</v>
      </c>
      <c r="G11" s="9">
        <v>0.41649999999999998</v>
      </c>
      <c r="H11" s="7">
        <v>-6.9449999999999998E-2</v>
      </c>
      <c r="I11" s="9">
        <v>0.14219999999999999</v>
      </c>
      <c r="J11" s="7">
        <v>-1.8010000000000002E-2</v>
      </c>
      <c r="K11" s="9">
        <v>0.6915</v>
      </c>
      <c r="L11" s="7">
        <v>-6.9999999999999999E-4</v>
      </c>
      <c r="M11" s="9">
        <v>0.98770000000000002</v>
      </c>
      <c r="N11" s="7">
        <v>-8.7600000000000004E-3</v>
      </c>
      <c r="O11" s="9">
        <v>0.84740000000000004</v>
      </c>
      <c r="P11" s="7">
        <v>-3.8159999999999999E-2</v>
      </c>
      <c r="Q11" s="9">
        <v>0.4017</v>
      </c>
    </row>
    <row r="12" spans="1:17" x14ac:dyDescent="0.35">
      <c r="A12" s="62" t="s">
        <v>163</v>
      </c>
      <c r="B12" s="7">
        <v>-1.6160000000000001E-2</v>
      </c>
      <c r="C12" s="9">
        <v>0.73299999999999998</v>
      </c>
      <c r="D12" s="7">
        <v>-6.4750000000000002E-2</v>
      </c>
      <c r="E12" s="9">
        <v>0.17130000000000001</v>
      </c>
      <c r="F12" s="7">
        <v>-0.1079</v>
      </c>
      <c r="G12" s="9">
        <v>2.24E-2</v>
      </c>
      <c r="H12" s="7">
        <v>8.6550000000000002E-2</v>
      </c>
      <c r="I12" s="9">
        <v>6.7199999999999996E-2</v>
      </c>
      <c r="J12" s="7">
        <v>3.0429999999999999E-2</v>
      </c>
      <c r="K12" s="9">
        <v>0.50249999999999995</v>
      </c>
      <c r="L12" s="7">
        <v>-1.9000000000000001E-4</v>
      </c>
      <c r="M12" s="9">
        <v>0.99670000000000003</v>
      </c>
      <c r="N12" s="7">
        <v>7.2080000000000005E-2</v>
      </c>
      <c r="O12" s="9">
        <v>0.1129</v>
      </c>
      <c r="P12" s="7">
        <v>1.392E-2</v>
      </c>
      <c r="Q12" s="9">
        <v>0.75970000000000004</v>
      </c>
    </row>
    <row r="13" spans="1:17" x14ac:dyDescent="0.35">
      <c r="A13" s="62" t="s">
        <v>164</v>
      </c>
      <c r="B13" s="7">
        <v>1.8450000000000001E-2</v>
      </c>
      <c r="C13" s="9">
        <v>0.69689999999999996</v>
      </c>
      <c r="D13" s="7">
        <v>9.0980000000000005E-2</v>
      </c>
      <c r="E13" s="9">
        <v>5.4300000000000001E-2</v>
      </c>
      <c r="F13" s="7">
        <v>9.0069999999999997E-2</v>
      </c>
      <c r="G13" s="9">
        <v>5.6800000000000003E-2</v>
      </c>
      <c r="H13" s="7">
        <v>-8.0149999999999999E-2</v>
      </c>
      <c r="I13" s="9">
        <v>9.0200000000000002E-2</v>
      </c>
      <c r="J13" s="7">
        <v>-3.5279999999999999E-2</v>
      </c>
      <c r="K13" s="9">
        <v>0.43680000000000002</v>
      </c>
      <c r="L13" s="7">
        <v>-3.159E-2</v>
      </c>
      <c r="M13" s="9">
        <v>0.48799999999999999</v>
      </c>
      <c r="N13" s="7">
        <v>-5.706E-2</v>
      </c>
      <c r="O13" s="9">
        <v>0.2097</v>
      </c>
      <c r="P13" s="7">
        <v>-1.401E-2</v>
      </c>
      <c r="Q13" s="9">
        <v>0.75829999999999997</v>
      </c>
    </row>
    <row r="14" spans="1:17" x14ac:dyDescent="0.35">
      <c r="A14" s="62" t="s">
        <v>165</v>
      </c>
      <c r="B14" s="7">
        <v>7.3639999999999997E-2</v>
      </c>
      <c r="C14" s="9">
        <v>0.1196</v>
      </c>
      <c r="D14" s="7">
        <v>8.4379999999999997E-2</v>
      </c>
      <c r="E14" s="9">
        <v>7.4399999999999994E-2</v>
      </c>
      <c r="F14" s="7">
        <v>4.0129999999999999E-2</v>
      </c>
      <c r="G14" s="9">
        <v>0.39679999999999999</v>
      </c>
      <c r="H14" s="7">
        <v>-3.671E-2</v>
      </c>
      <c r="I14" s="9">
        <v>0.43830000000000002</v>
      </c>
      <c r="J14" s="7">
        <v>-2.7310000000000001E-2</v>
      </c>
      <c r="K14" s="9">
        <v>0.54730000000000001</v>
      </c>
      <c r="L14" s="7">
        <v>-3.62E-3</v>
      </c>
      <c r="M14" s="9">
        <v>0.93669999999999998</v>
      </c>
      <c r="N14" s="7">
        <v>-7.6100000000000001E-2</v>
      </c>
      <c r="O14" s="9">
        <v>9.4100000000000003E-2</v>
      </c>
      <c r="P14" s="7">
        <v>2.3E-3</v>
      </c>
      <c r="Q14" s="9">
        <v>0.95979999999999999</v>
      </c>
    </row>
    <row r="15" spans="1:17" x14ac:dyDescent="0.35">
      <c r="A15" s="62" t="s">
        <v>169</v>
      </c>
      <c r="B15" s="7">
        <v>4.9399999999999999E-2</v>
      </c>
      <c r="C15" s="9">
        <v>0.29680000000000001</v>
      </c>
      <c r="D15" s="7">
        <v>6.0589999999999998E-2</v>
      </c>
      <c r="E15" s="9">
        <v>0.20050000000000001</v>
      </c>
      <c r="F15" s="7">
        <v>4.1200000000000001E-2</v>
      </c>
      <c r="G15" s="9">
        <v>0.38429999999999997</v>
      </c>
      <c r="H15" s="7">
        <v>-5.0360000000000002E-2</v>
      </c>
      <c r="I15" s="9">
        <v>0.28749999999999998</v>
      </c>
      <c r="J15" s="7">
        <v>4.1099999999999998E-2</v>
      </c>
      <c r="K15" s="9">
        <v>0.3649</v>
      </c>
      <c r="L15" s="7">
        <v>7.9439999999999997E-2</v>
      </c>
      <c r="M15" s="9">
        <v>8.0799999999999997E-2</v>
      </c>
      <c r="N15" s="7">
        <v>1.8149999999999999E-2</v>
      </c>
      <c r="O15" s="9">
        <v>0.69010000000000005</v>
      </c>
      <c r="P15" s="7">
        <v>1.566E-2</v>
      </c>
      <c r="Q15" s="9">
        <v>0.73080000000000001</v>
      </c>
    </row>
    <row r="16" spans="1:17" x14ac:dyDescent="0.35">
      <c r="A16" s="62" t="s">
        <v>172</v>
      </c>
      <c r="B16" s="7">
        <v>1.7090000000000001E-2</v>
      </c>
      <c r="C16" s="9">
        <v>0.71830000000000005</v>
      </c>
      <c r="D16" s="7">
        <v>7.4709999999999999E-2</v>
      </c>
      <c r="E16" s="9">
        <v>0.1143</v>
      </c>
      <c r="F16" s="7">
        <v>-1.0330000000000001E-2</v>
      </c>
      <c r="G16" s="9">
        <v>0.82750000000000001</v>
      </c>
      <c r="H16" s="7">
        <v>-5.2380000000000003E-2</v>
      </c>
      <c r="I16" s="9">
        <v>0.26860000000000001</v>
      </c>
      <c r="J16" s="7">
        <v>2.5899999999999999E-3</v>
      </c>
      <c r="K16" s="9">
        <v>0.95450000000000002</v>
      </c>
      <c r="L16" s="7">
        <v>4.4650000000000002E-2</v>
      </c>
      <c r="M16" s="9">
        <v>0.32700000000000001</v>
      </c>
      <c r="N16" s="7">
        <v>-7.0800000000000004E-3</v>
      </c>
      <c r="O16" s="9">
        <v>0.87639999999999996</v>
      </c>
      <c r="P16" s="7">
        <v>-3.2099999999999997E-2</v>
      </c>
      <c r="Q16" s="9">
        <v>0.48070000000000002</v>
      </c>
    </row>
    <row r="17" spans="1:17" x14ac:dyDescent="0.35">
      <c r="A17" s="62" t="s">
        <v>175</v>
      </c>
      <c r="B17" s="7">
        <v>3.2849999999999997E-2</v>
      </c>
      <c r="C17" s="9">
        <v>0.48799999999999999</v>
      </c>
      <c r="D17" s="7">
        <v>3.1739999999999997E-2</v>
      </c>
      <c r="E17" s="9">
        <v>0.50270000000000004</v>
      </c>
      <c r="F17" s="7">
        <v>3.1099999999999999E-3</v>
      </c>
      <c r="G17" s="9">
        <v>0.94769999999999999</v>
      </c>
      <c r="H17" s="7">
        <v>-7.4700000000000003E-2</v>
      </c>
      <c r="I17" s="9">
        <v>0.1144</v>
      </c>
      <c r="J17" s="7">
        <v>-1.6549999999999999E-2</v>
      </c>
      <c r="K17" s="9">
        <v>0.71540000000000004</v>
      </c>
      <c r="L17" s="7">
        <v>2.751E-2</v>
      </c>
      <c r="M17" s="9">
        <v>0.54610000000000003</v>
      </c>
      <c r="N17" s="7">
        <v>-4.0129999999999999E-2</v>
      </c>
      <c r="O17" s="9">
        <v>0.37790000000000001</v>
      </c>
      <c r="P17" s="7">
        <v>-3.7629999999999997E-2</v>
      </c>
      <c r="Q17" s="9">
        <v>0.4083</v>
      </c>
    </row>
    <row r="18" spans="1:17" x14ac:dyDescent="0.35">
      <c r="A18" s="62" t="s">
        <v>178</v>
      </c>
      <c r="B18" s="7">
        <v>2.8700000000000002E-3</v>
      </c>
      <c r="C18" s="9">
        <v>0.95169999999999999</v>
      </c>
      <c r="D18" s="7">
        <v>5.2010000000000001E-2</v>
      </c>
      <c r="E18" s="9">
        <v>0.27200000000000002</v>
      </c>
      <c r="F18" s="7">
        <v>-3.1649999999999998E-2</v>
      </c>
      <c r="G18" s="9">
        <v>0.50409999999999999</v>
      </c>
      <c r="H18" s="7">
        <v>-5.586E-2</v>
      </c>
      <c r="I18" s="9">
        <v>0.23799999999999999</v>
      </c>
      <c r="J18" s="7">
        <v>1.4019999999999999E-2</v>
      </c>
      <c r="K18" s="9">
        <v>0.75739999999999996</v>
      </c>
      <c r="L18" s="7">
        <v>4.1750000000000002E-2</v>
      </c>
      <c r="M18" s="9">
        <v>0.35930000000000001</v>
      </c>
      <c r="N18" s="7">
        <v>1.184E-2</v>
      </c>
      <c r="O18" s="9">
        <v>0.79479999999999995</v>
      </c>
      <c r="P18" s="7">
        <v>-1.8450000000000001E-2</v>
      </c>
      <c r="Q18" s="9">
        <v>0.68530000000000002</v>
      </c>
    </row>
    <row r="19" spans="1:17" x14ac:dyDescent="0.35">
      <c r="A19" s="62" t="s">
        <v>181</v>
      </c>
      <c r="B19" s="7">
        <v>-9.1200000000000003E-2</v>
      </c>
      <c r="C19" s="9">
        <v>5.3699999999999998E-2</v>
      </c>
      <c r="D19" s="7">
        <v>1.272E-2</v>
      </c>
      <c r="E19" s="9">
        <v>0.78839999999999999</v>
      </c>
      <c r="F19" s="7">
        <v>-3.6420000000000001E-2</v>
      </c>
      <c r="G19" s="9">
        <v>0.442</v>
      </c>
      <c r="H19" s="7">
        <v>2.0879999999999999E-2</v>
      </c>
      <c r="I19" s="9">
        <v>0.65939999999999999</v>
      </c>
      <c r="J19" s="7">
        <v>5.7000000000000002E-3</v>
      </c>
      <c r="K19" s="9">
        <v>0.90010000000000001</v>
      </c>
      <c r="L19" s="7">
        <v>2.23E-2</v>
      </c>
      <c r="M19" s="9">
        <v>0.62450000000000006</v>
      </c>
      <c r="N19" s="7">
        <v>2.605E-2</v>
      </c>
      <c r="O19" s="9">
        <v>0.56710000000000005</v>
      </c>
      <c r="P19" s="7">
        <v>-2.2550000000000001E-2</v>
      </c>
      <c r="Q19" s="9">
        <v>0.62029999999999996</v>
      </c>
    </row>
    <row r="20" spans="1:17" x14ac:dyDescent="0.35">
      <c r="A20" s="62" t="s">
        <v>184</v>
      </c>
      <c r="B20" s="7">
        <v>-0.10675999999999999</v>
      </c>
      <c r="C20" s="9">
        <v>2.3800000000000002E-2</v>
      </c>
      <c r="D20" s="7">
        <v>-4.2320000000000003E-2</v>
      </c>
      <c r="E20" s="9">
        <v>0.3715</v>
      </c>
      <c r="F20" s="7">
        <v>-3.6999999999999998E-2</v>
      </c>
      <c r="G20" s="9">
        <v>0.43469999999999998</v>
      </c>
      <c r="H20" s="7">
        <v>6.9139999999999993E-2</v>
      </c>
      <c r="I20" s="9">
        <v>0.14399999999999999</v>
      </c>
      <c r="J20" s="7">
        <v>5.2789999999999997E-2</v>
      </c>
      <c r="K20" s="9">
        <v>0.2445</v>
      </c>
      <c r="L20" s="7">
        <v>3.0460000000000001E-2</v>
      </c>
      <c r="M20" s="9">
        <v>0.50370000000000004</v>
      </c>
      <c r="N20" s="7">
        <v>8.6319999999999994E-2</v>
      </c>
      <c r="O20" s="9">
        <v>5.7500000000000002E-2</v>
      </c>
      <c r="P20" s="7">
        <v>3.141E-2</v>
      </c>
      <c r="Q20" s="9">
        <v>0.49020000000000002</v>
      </c>
    </row>
    <row r="21" spans="1:17" x14ac:dyDescent="0.35">
      <c r="A21" s="62" t="s">
        <v>211</v>
      </c>
      <c r="B21" s="7">
        <v>-7.5560000000000002E-2</v>
      </c>
      <c r="C21" s="9">
        <v>0.1103</v>
      </c>
      <c r="D21" s="7">
        <v>-1.8339999999999999E-2</v>
      </c>
      <c r="E21" s="9">
        <v>0.6986</v>
      </c>
      <c r="F21" s="7">
        <v>-1.482E-2</v>
      </c>
      <c r="G21" s="9">
        <v>0.75439999999999996</v>
      </c>
      <c r="H21" s="7">
        <v>1.047E-2</v>
      </c>
      <c r="I21" s="9">
        <v>0.82509999999999994</v>
      </c>
      <c r="J21" s="7">
        <v>4.4519999999999997E-2</v>
      </c>
      <c r="K21" s="9">
        <v>0.32640000000000002</v>
      </c>
      <c r="L21" s="7">
        <v>5.892E-2</v>
      </c>
      <c r="M21" s="9">
        <v>0.19570000000000001</v>
      </c>
      <c r="N21" s="7">
        <v>7.2279999999999997E-2</v>
      </c>
      <c r="O21" s="9">
        <v>0.1119</v>
      </c>
      <c r="P21" s="7">
        <v>-1.1650000000000001E-2</v>
      </c>
      <c r="Q21" s="9">
        <v>0.79800000000000004</v>
      </c>
    </row>
    <row r="22" spans="1:17" x14ac:dyDescent="0.35">
      <c r="A22" s="62" t="s">
        <v>214</v>
      </c>
      <c r="B22" s="7">
        <v>2.1569999999999999E-2</v>
      </c>
      <c r="C22" s="9">
        <v>0.64890000000000003</v>
      </c>
      <c r="D22" s="7">
        <v>5.8479999999999997E-2</v>
      </c>
      <c r="E22" s="9">
        <v>0.2167</v>
      </c>
      <c r="F22" s="7">
        <v>8.4999999999999995E-4</v>
      </c>
      <c r="G22" s="9">
        <v>0.98570000000000002</v>
      </c>
      <c r="H22" s="7">
        <v>-7.9799999999999996E-2</v>
      </c>
      <c r="I22" s="9">
        <v>9.1600000000000001E-2</v>
      </c>
      <c r="J22" s="7">
        <v>-2.351E-2</v>
      </c>
      <c r="K22" s="9">
        <v>0.60429999999999995</v>
      </c>
      <c r="L22" s="7">
        <v>4.9800000000000001E-3</v>
      </c>
      <c r="M22" s="9">
        <v>0.91290000000000004</v>
      </c>
      <c r="N22" s="7">
        <v>-2.5819999999999999E-2</v>
      </c>
      <c r="O22" s="9">
        <v>0.57050000000000001</v>
      </c>
      <c r="P22" s="7">
        <v>-4.7460000000000002E-2</v>
      </c>
      <c r="Q22" s="9">
        <v>0.2969</v>
      </c>
    </row>
    <row r="23" spans="1:17" x14ac:dyDescent="0.35">
      <c r="A23" s="67" t="s">
        <v>218</v>
      </c>
      <c r="B23" s="7">
        <v>9.5990000000000006E-2</v>
      </c>
      <c r="C23" s="9">
        <v>4.2299999999999997E-2</v>
      </c>
      <c r="D23" s="7">
        <v>7.9680000000000001E-2</v>
      </c>
      <c r="E23" s="9">
        <v>9.2100000000000001E-2</v>
      </c>
      <c r="F23" s="7">
        <v>3.1329999999999997E-2</v>
      </c>
      <c r="G23" s="9">
        <v>0.50829999999999997</v>
      </c>
      <c r="H23" s="7">
        <v>-9.6259999999999998E-2</v>
      </c>
      <c r="I23" s="9">
        <v>4.1700000000000001E-2</v>
      </c>
      <c r="J23" s="7">
        <v>-6.9589999999999999E-2</v>
      </c>
      <c r="K23" s="9">
        <v>0.12470000000000001</v>
      </c>
      <c r="L23" s="7">
        <v>-3.7819999999999999E-2</v>
      </c>
      <c r="M23" s="9">
        <v>0.40649999999999997</v>
      </c>
      <c r="N23" s="7">
        <v>-0.10129000000000001</v>
      </c>
      <c r="O23" s="9">
        <v>2.5700000000000001E-2</v>
      </c>
      <c r="P23" s="7">
        <v>-4.4290000000000003E-2</v>
      </c>
      <c r="Q23" s="9">
        <v>0.33040000000000003</v>
      </c>
    </row>
    <row r="24" spans="1:17" x14ac:dyDescent="0.35">
      <c r="A24" s="67" t="s">
        <v>219</v>
      </c>
      <c r="B24" s="7">
        <v>3.0190000000000002E-2</v>
      </c>
      <c r="C24" s="9">
        <v>0.52390000000000003</v>
      </c>
      <c r="D24" s="7">
        <v>-2.1940000000000001E-2</v>
      </c>
      <c r="E24" s="9">
        <v>0.64319999999999999</v>
      </c>
      <c r="F24" s="7">
        <v>5.6099999999999997E-2</v>
      </c>
      <c r="G24" s="9">
        <v>0.23599999999999999</v>
      </c>
      <c r="H24" s="7">
        <v>1.2600000000000001E-3</v>
      </c>
      <c r="I24" s="9">
        <v>0.9788</v>
      </c>
      <c r="J24" s="7">
        <v>-1.0619999999999999E-2</v>
      </c>
      <c r="K24" s="9">
        <v>0.81499999999999995</v>
      </c>
      <c r="L24" s="7">
        <v>-3.1600000000000003E-2</v>
      </c>
      <c r="M24" s="9">
        <v>0.4879</v>
      </c>
      <c r="N24" s="7">
        <v>-1.6899999999999998E-2</v>
      </c>
      <c r="O24" s="9">
        <v>0.71050000000000002</v>
      </c>
      <c r="P24" s="7">
        <v>1.321E-2</v>
      </c>
      <c r="Q24" s="9">
        <v>0.77180000000000004</v>
      </c>
    </row>
    <row r="25" spans="1:17" x14ac:dyDescent="0.35">
      <c r="A25" s="67" t="s">
        <v>222</v>
      </c>
      <c r="B25" s="7">
        <v>3.0110000000000001E-2</v>
      </c>
      <c r="C25" s="9">
        <v>0.52500000000000002</v>
      </c>
      <c r="D25" s="7">
        <v>-2.2179999999999998E-2</v>
      </c>
      <c r="E25" s="9">
        <v>0.63970000000000005</v>
      </c>
      <c r="F25" s="7">
        <v>5.6439999999999997E-2</v>
      </c>
      <c r="G25" s="9">
        <v>0.23319999999999999</v>
      </c>
      <c r="H25" s="7">
        <v>1.3500000000000001E-3</v>
      </c>
      <c r="I25" s="9">
        <v>0.97719999999999996</v>
      </c>
      <c r="J25" s="7">
        <v>-1.0410000000000001E-2</v>
      </c>
      <c r="K25" s="9">
        <v>0.81859999999999999</v>
      </c>
      <c r="L25" s="7">
        <v>-3.1390000000000001E-2</v>
      </c>
      <c r="M25" s="9">
        <v>0.49080000000000001</v>
      </c>
      <c r="N25" s="7">
        <v>-1.6979999999999999E-2</v>
      </c>
      <c r="O25" s="9">
        <v>0.70909999999999995</v>
      </c>
      <c r="P25" s="7">
        <v>1.367E-2</v>
      </c>
      <c r="Q25" s="9">
        <v>0.76390000000000002</v>
      </c>
    </row>
    <row r="26" spans="1:17" x14ac:dyDescent="0.35">
      <c r="A26" s="67" t="s">
        <v>225</v>
      </c>
      <c r="B26" s="7">
        <v>7.3550000000000004E-2</v>
      </c>
      <c r="C26" s="9">
        <v>0.1201</v>
      </c>
      <c r="D26" s="7">
        <v>1.814E-2</v>
      </c>
      <c r="E26" s="9">
        <v>0.70179999999999998</v>
      </c>
      <c r="F26" s="7">
        <v>-1.2579999999999999E-2</v>
      </c>
      <c r="G26" s="9">
        <v>0.79059999999999997</v>
      </c>
      <c r="H26" s="7">
        <v>-1.9439999999999999E-2</v>
      </c>
      <c r="I26" s="9">
        <v>0.68149999999999999</v>
      </c>
      <c r="J26" s="7">
        <v>4.4400000000000002E-2</v>
      </c>
      <c r="K26" s="9">
        <v>0.32769999999999999</v>
      </c>
      <c r="L26" s="7">
        <v>5.6750000000000002E-2</v>
      </c>
      <c r="M26" s="9">
        <v>0.21260000000000001</v>
      </c>
      <c r="N26" s="7">
        <v>-1.3979999999999999E-2</v>
      </c>
      <c r="O26" s="9">
        <v>0.75880000000000003</v>
      </c>
      <c r="P26" s="7">
        <v>6.1870000000000001E-2</v>
      </c>
      <c r="Q26" s="9">
        <v>0.17369999999999999</v>
      </c>
    </row>
    <row r="27" spans="1:17" x14ac:dyDescent="0.35">
      <c r="A27" s="67" t="s">
        <v>228</v>
      </c>
      <c r="B27" s="7">
        <v>6.2120000000000002E-2</v>
      </c>
      <c r="C27" s="9">
        <v>0.18940000000000001</v>
      </c>
      <c r="D27" s="7">
        <v>3.3400000000000001E-3</v>
      </c>
      <c r="E27" s="9">
        <v>0.94369999999999998</v>
      </c>
      <c r="F27" s="7">
        <v>-1.8089999999999998E-2</v>
      </c>
      <c r="G27" s="9">
        <v>0.70250000000000001</v>
      </c>
      <c r="H27" s="7">
        <v>4.5960000000000001E-2</v>
      </c>
      <c r="I27" s="9">
        <v>0.33169999999999999</v>
      </c>
      <c r="J27" s="7">
        <v>-3.3E-4</v>
      </c>
      <c r="K27" s="9">
        <v>0.99419999999999997</v>
      </c>
      <c r="L27" s="7">
        <v>-1.039E-2</v>
      </c>
      <c r="M27" s="9">
        <v>0.8196</v>
      </c>
      <c r="N27" s="7">
        <v>-8.5000000000000006E-3</v>
      </c>
      <c r="O27" s="9">
        <v>0.85189999999999999</v>
      </c>
      <c r="P27" s="7">
        <v>7.5500000000000003E-3</v>
      </c>
      <c r="Q27" s="9">
        <v>0.86829999999999996</v>
      </c>
    </row>
    <row r="28" spans="1:17" x14ac:dyDescent="0.35">
      <c r="A28" s="62" t="s">
        <v>251</v>
      </c>
      <c r="B28" s="7">
        <v>3.5049999999999998E-2</v>
      </c>
      <c r="C28" s="9">
        <v>0.45929999999999999</v>
      </c>
      <c r="D28" s="7">
        <v>6.8669999999999995E-2</v>
      </c>
      <c r="E28" s="9">
        <v>0.1467</v>
      </c>
      <c r="F28" s="7">
        <v>-1.171E-2</v>
      </c>
      <c r="G28" s="9">
        <v>0.80469999999999997</v>
      </c>
      <c r="H28" s="7">
        <v>-5.4339999999999999E-2</v>
      </c>
      <c r="I28" s="9">
        <v>0.251</v>
      </c>
      <c r="J28" s="7">
        <v>5.6800000000000002E-3</v>
      </c>
      <c r="K28" s="9">
        <v>0.90039999999999998</v>
      </c>
      <c r="L28" s="7">
        <v>4.811E-2</v>
      </c>
      <c r="M28" s="9">
        <v>0.2908</v>
      </c>
      <c r="N28" s="7">
        <v>-3.96E-3</v>
      </c>
      <c r="O28" s="9">
        <v>0.93069999999999997</v>
      </c>
      <c r="P28" s="7">
        <v>-3.3189999999999997E-2</v>
      </c>
      <c r="Q28" s="9">
        <v>0.46579999999999999</v>
      </c>
    </row>
    <row r="29" spans="1:17" x14ac:dyDescent="0.35">
      <c r="A29" s="62" t="s">
        <v>256</v>
      </c>
      <c r="B29" s="7">
        <v>-5.2100000000000002E-3</v>
      </c>
      <c r="C29" s="9">
        <v>0.91239999999999999</v>
      </c>
      <c r="D29" s="7">
        <v>1.6719999999999999E-2</v>
      </c>
      <c r="E29" s="9">
        <v>0.72409999999999997</v>
      </c>
      <c r="F29" s="7">
        <v>-2.1930000000000002E-2</v>
      </c>
      <c r="G29" s="9">
        <v>0.64339999999999997</v>
      </c>
      <c r="H29" s="7">
        <v>-1.618E-2</v>
      </c>
      <c r="I29" s="9">
        <v>0.73270000000000002</v>
      </c>
      <c r="J29" s="7">
        <v>-1.34E-3</v>
      </c>
      <c r="K29" s="9">
        <v>0.97650000000000003</v>
      </c>
      <c r="L29" s="7">
        <v>4.2020000000000002E-2</v>
      </c>
      <c r="M29" s="9">
        <v>0.35630000000000001</v>
      </c>
      <c r="N29" s="7">
        <v>-2.094E-2</v>
      </c>
      <c r="O29" s="9">
        <v>0.64549999999999996</v>
      </c>
      <c r="P29" s="7">
        <v>-2.6689999999999998E-2</v>
      </c>
      <c r="Q29" s="9">
        <v>0.55769999999999997</v>
      </c>
    </row>
    <row r="30" spans="1:17" x14ac:dyDescent="0.35">
      <c r="A30" s="62" t="s">
        <v>257</v>
      </c>
      <c r="B30" s="7">
        <v>2.181E-2</v>
      </c>
      <c r="C30" s="9">
        <v>0.64529999999999998</v>
      </c>
      <c r="D30" s="7">
        <v>6.7220000000000002E-2</v>
      </c>
      <c r="E30" s="9">
        <v>0.1555</v>
      </c>
      <c r="F30" s="7">
        <v>1.6990000000000002E-2</v>
      </c>
      <c r="G30" s="9">
        <v>0.71989999999999998</v>
      </c>
      <c r="H30" s="7">
        <v>-6.7790000000000003E-2</v>
      </c>
      <c r="I30" s="9">
        <v>0.152</v>
      </c>
      <c r="J30" s="7">
        <v>2.2630000000000001E-2</v>
      </c>
      <c r="K30" s="9">
        <v>0.61799999999999999</v>
      </c>
      <c r="L30" s="7">
        <v>5.6059999999999999E-2</v>
      </c>
      <c r="M30" s="9">
        <v>0.21829999999999999</v>
      </c>
      <c r="N30" s="7">
        <v>3.8700000000000002E-3</v>
      </c>
      <c r="O30" s="9">
        <v>0.93220000000000003</v>
      </c>
      <c r="P30" s="7">
        <v>-5.4000000000000003E-3</v>
      </c>
      <c r="Q30" s="9">
        <v>0.90559999999999996</v>
      </c>
    </row>
    <row r="31" spans="1:17" x14ac:dyDescent="0.35">
      <c r="A31" s="62" t="s">
        <v>258</v>
      </c>
      <c r="B31" s="7">
        <v>4.0090000000000001E-2</v>
      </c>
      <c r="C31" s="9">
        <v>0.39729999999999999</v>
      </c>
      <c r="D31" s="7">
        <v>9.7949999999999995E-2</v>
      </c>
      <c r="E31" s="9">
        <v>3.8199999999999998E-2</v>
      </c>
      <c r="F31" s="7">
        <v>2.964E-2</v>
      </c>
      <c r="G31" s="9">
        <v>0.53149999999999997</v>
      </c>
      <c r="H31" s="7">
        <v>-6.8089999999999998E-2</v>
      </c>
      <c r="I31" s="9">
        <v>0.1502</v>
      </c>
      <c r="J31" s="7">
        <v>-5.4050000000000001E-2</v>
      </c>
      <c r="K31" s="9">
        <v>0.23330000000000001</v>
      </c>
      <c r="L31" s="7">
        <v>-2.2169999999999999E-2</v>
      </c>
      <c r="M31" s="9">
        <v>0.62670000000000003</v>
      </c>
      <c r="N31" s="7">
        <v>-6.8320000000000006E-2</v>
      </c>
      <c r="O31" s="9">
        <v>0.13300000000000001</v>
      </c>
      <c r="P31" s="7">
        <v>-5.2949999999999997E-2</v>
      </c>
      <c r="Q31" s="9">
        <v>0.2445</v>
      </c>
    </row>
    <row r="32" spans="1:17" x14ac:dyDescent="0.35">
      <c r="A32" s="62" t="s">
        <v>251</v>
      </c>
      <c r="B32" s="7">
        <v>3.5049999999999998E-2</v>
      </c>
      <c r="C32" s="9">
        <v>0.45929999999999999</v>
      </c>
      <c r="D32" s="7">
        <v>6.8669999999999995E-2</v>
      </c>
      <c r="E32" s="9">
        <v>0.1467</v>
      </c>
      <c r="F32" s="7">
        <v>-1.171E-2</v>
      </c>
      <c r="G32" s="9">
        <v>0.80469999999999997</v>
      </c>
      <c r="H32" s="7">
        <v>-5.4339999999999999E-2</v>
      </c>
      <c r="I32" s="9">
        <v>0.251</v>
      </c>
      <c r="J32" s="7">
        <v>5.6800000000000002E-3</v>
      </c>
      <c r="K32" s="9">
        <v>0.90039999999999998</v>
      </c>
      <c r="L32" s="7">
        <v>4.811E-2</v>
      </c>
      <c r="M32" s="9">
        <v>0.2908</v>
      </c>
      <c r="N32" s="7">
        <v>-3.96E-3</v>
      </c>
      <c r="O32" s="9">
        <v>0.93069999999999997</v>
      </c>
      <c r="P32" s="7">
        <v>-3.3189999999999997E-2</v>
      </c>
      <c r="Q32" s="9">
        <v>0.46579999999999999</v>
      </c>
    </row>
    <row r="33" spans="1:17" x14ac:dyDescent="0.35">
      <c r="A33" s="62" t="s">
        <v>259</v>
      </c>
      <c r="B33" s="7">
        <v>-6.4210000000000003E-2</v>
      </c>
      <c r="C33" s="9">
        <v>0.1749</v>
      </c>
      <c r="D33" s="7">
        <v>-1.47E-2</v>
      </c>
      <c r="E33" s="9">
        <v>0.75639999999999996</v>
      </c>
      <c r="F33" s="7">
        <v>6.3000000000000003E-4</v>
      </c>
      <c r="G33" s="9">
        <v>0.98950000000000005</v>
      </c>
      <c r="H33" s="7">
        <v>7.6009999999999994E-2</v>
      </c>
      <c r="I33" s="9">
        <v>0.1082</v>
      </c>
      <c r="J33" s="7">
        <v>4.9630000000000001E-2</v>
      </c>
      <c r="K33" s="9">
        <v>0.27379999999999999</v>
      </c>
      <c r="L33" s="7">
        <v>6.9970000000000004E-2</v>
      </c>
      <c r="M33" s="9">
        <v>0.1242</v>
      </c>
      <c r="N33" s="7">
        <v>4.4150000000000002E-2</v>
      </c>
      <c r="O33" s="9">
        <v>0.33189999999999997</v>
      </c>
      <c r="P33" s="7">
        <v>1.898E-2</v>
      </c>
      <c r="Q33" s="9">
        <v>0.67669999999999997</v>
      </c>
    </row>
    <row r="34" spans="1:17" x14ac:dyDescent="0.35">
      <c r="A34" s="62" t="s">
        <v>260</v>
      </c>
      <c r="B34" s="7">
        <v>7.6910000000000006E-2</v>
      </c>
      <c r="C34" s="9">
        <v>0.104</v>
      </c>
      <c r="D34" s="7">
        <v>8.4220000000000003E-2</v>
      </c>
      <c r="E34" s="9">
        <v>7.4999999999999997E-2</v>
      </c>
      <c r="F34" s="7">
        <v>4.0149999999999998E-2</v>
      </c>
      <c r="G34" s="9">
        <v>0.39660000000000001</v>
      </c>
      <c r="H34" s="7">
        <v>-3.4939999999999999E-2</v>
      </c>
      <c r="I34" s="9">
        <v>0.4607</v>
      </c>
      <c r="J34" s="7">
        <v>-2.6349999999999998E-2</v>
      </c>
      <c r="K34" s="9">
        <v>0.5615</v>
      </c>
      <c r="L34" s="7">
        <v>-1.31E-3</v>
      </c>
      <c r="M34" s="9">
        <v>0.97709999999999997</v>
      </c>
      <c r="N34" s="7">
        <v>-7.6160000000000005E-2</v>
      </c>
      <c r="O34" s="9">
        <v>9.3899999999999997E-2</v>
      </c>
      <c r="P34" s="7">
        <v>2.4599999999999999E-3</v>
      </c>
      <c r="Q34" s="9">
        <v>0.95689999999999997</v>
      </c>
    </row>
    <row r="35" spans="1:17" x14ac:dyDescent="0.35">
      <c r="A35" s="36" t="s">
        <v>263</v>
      </c>
      <c r="B35" s="37">
        <v>8.3970000000000003E-2</v>
      </c>
      <c r="C35" s="38">
        <v>7.5800000000000006E-2</v>
      </c>
      <c r="D35" s="37">
        <v>4.5920000000000002E-2</v>
      </c>
      <c r="E35" s="38">
        <v>0.3322</v>
      </c>
      <c r="F35" s="37">
        <v>5.67E-2</v>
      </c>
      <c r="G35" s="38">
        <v>0.23100000000000001</v>
      </c>
      <c r="H35" s="37">
        <v>-7.8E-2</v>
      </c>
      <c r="I35" s="38">
        <v>9.9199999999999997E-2</v>
      </c>
      <c r="J35" s="37">
        <v>-5.0459999999999998E-2</v>
      </c>
      <c r="K35" s="38">
        <v>0.26590000000000003</v>
      </c>
      <c r="L35" s="37">
        <v>-6.0679999999999998E-2</v>
      </c>
      <c r="M35" s="38">
        <v>0.18260000000000001</v>
      </c>
      <c r="N35" s="37">
        <v>-7.7499999999999999E-2</v>
      </c>
      <c r="O35" s="38">
        <v>8.8200000000000001E-2</v>
      </c>
      <c r="P35" s="37">
        <v>6.0400000000000002E-3</v>
      </c>
      <c r="Q35" s="38">
        <v>0.89439999999999997</v>
      </c>
    </row>
  </sheetData>
  <mergeCells count="10">
    <mergeCell ref="B2:I2"/>
    <mergeCell ref="J2:Q2"/>
    <mergeCell ref="B3:C3"/>
    <mergeCell ref="D3:E3"/>
    <mergeCell ref="F3:G3"/>
    <mergeCell ref="H3:I3"/>
    <mergeCell ref="J3:K3"/>
    <mergeCell ref="L3:M3"/>
    <mergeCell ref="N3:O3"/>
    <mergeCell ref="P3:Q3"/>
  </mergeCells>
  <conditionalFormatting sqref="C1:C1048576 E1:E1048576 G1:G1048576 I1:I1048576 K1:K1048576 M1:M1048576 O1:O1048576 Q1:Q1048576">
    <cfRule type="containsBlanks" priority="1" stopIfTrue="1">
      <formula>LEN(TRIM(C1))=0</formula>
    </cfRule>
    <cfRule type="cellIs" dxfId="1" priority="2" stopIfTrue="1" operator="lessThan">
      <formula>0.01</formula>
    </cfRule>
    <cfRule type="cellIs" dxfId="0" priority="3" operator="lessThan">
      <formula>0.05</formula>
    </cfRule>
  </conditionalFormatting>
  <pageMargins left="0.7" right="0.7" top="0.75" bottom="0.75" header="0.3" footer="0.3"/>
  <headerFooter>
    <oddFooter>&amp;L_x000D_&amp;1#&amp;"Aptos"&amp;10&amp;K000000 St. Jude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D1C0-F353-4440-B924-0D6E1E873FB7}">
  <dimension ref="B3:G30"/>
  <sheetViews>
    <sheetView workbookViewId="0">
      <selection activeCell="J10" sqref="J10"/>
    </sheetView>
  </sheetViews>
  <sheetFormatPr defaultRowHeight="14.5" x14ac:dyDescent="0.35"/>
  <cols>
    <col min="2" max="2" width="58.26953125" style="68" customWidth="1"/>
    <col min="3" max="4" width="10.36328125" style="7" bestFit="1" customWidth="1"/>
    <col min="5" max="6" width="8.7265625" style="40"/>
  </cols>
  <sheetData>
    <row r="3" spans="2:7" ht="16.5" x14ac:dyDescent="0.45">
      <c r="B3" s="69"/>
      <c r="C3" s="8" t="s">
        <v>431</v>
      </c>
      <c r="D3" s="8" t="s">
        <v>432</v>
      </c>
      <c r="E3" s="39" t="s">
        <v>403</v>
      </c>
      <c r="F3" s="39" t="s">
        <v>29</v>
      </c>
    </row>
    <row r="4" spans="2:7" ht="29" x14ac:dyDescent="0.35">
      <c r="B4" s="68" t="s">
        <v>404</v>
      </c>
      <c r="C4" s="7">
        <v>0.61799999999999999</v>
      </c>
      <c r="D4" s="7">
        <v>0.57499999999999996</v>
      </c>
      <c r="E4" s="40">
        <v>2.2200000000000002</v>
      </c>
      <c r="F4" s="40">
        <v>0.13669999999999999</v>
      </c>
      <c r="G4" t="s">
        <v>433</v>
      </c>
    </row>
    <row r="5" spans="2:7" x14ac:dyDescent="0.35">
      <c r="B5" s="68" t="s">
        <v>405</v>
      </c>
      <c r="C5" s="70">
        <v>42.465753399999997</v>
      </c>
      <c r="D5" s="70">
        <v>46.039840599999998</v>
      </c>
      <c r="E5" s="40">
        <v>2.19</v>
      </c>
      <c r="F5" s="40">
        <v>0.1391</v>
      </c>
    </row>
    <row r="6" spans="2:7" x14ac:dyDescent="0.35">
      <c r="B6" s="68" t="s">
        <v>406</v>
      </c>
      <c r="C6" s="70">
        <v>46.200913200000002</v>
      </c>
      <c r="D6" s="70">
        <v>47.928286900000003</v>
      </c>
      <c r="E6" s="40">
        <v>0.53</v>
      </c>
      <c r="F6" s="40">
        <v>0.4677</v>
      </c>
    </row>
    <row r="7" spans="2:7" x14ac:dyDescent="0.35">
      <c r="B7" s="68" t="s">
        <v>407</v>
      </c>
      <c r="C7" s="70">
        <v>36.9452055</v>
      </c>
      <c r="D7" s="70">
        <v>40.382470099999999</v>
      </c>
      <c r="E7" s="40">
        <v>2.1800000000000002</v>
      </c>
      <c r="F7" s="40">
        <v>0.1406</v>
      </c>
    </row>
    <row r="8" spans="2:7" x14ac:dyDescent="0.35">
      <c r="B8" s="68" t="s">
        <v>408</v>
      </c>
      <c r="C8" s="70">
        <v>42.621004599999999</v>
      </c>
      <c r="D8" s="70">
        <v>46.458167299999999</v>
      </c>
      <c r="E8" s="40">
        <v>2.48</v>
      </c>
      <c r="F8" s="40">
        <v>0.1158</v>
      </c>
    </row>
    <row r="9" spans="2:7" x14ac:dyDescent="0.35">
      <c r="B9" s="68" t="s">
        <v>409</v>
      </c>
      <c r="C9" s="70">
        <v>46.187214599999997</v>
      </c>
      <c r="D9" s="70">
        <v>46.768924300000002</v>
      </c>
      <c r="E9" s="40">
        <v>0.05</v>
      </c>
      <c r="F9" s="40">
        <v>0.82779999999999998</v>
      </c>
    </row>
    <row r="10" spans="2:7" x14ac:dyDescent="0.35">
      <c r="B10" s="68" t="s">
        <v>410</v>
      </c>
      <c r="C10" s="70">
        <v>47.479452100000003</v>
      </c>
      <c r="D10" s="70">
        <v>46.928286900000003</v>
      </c>
      <c r="E10" s="40">
        <v>2.58</v>
      </c>
      <c r="F10" s="40">
        <v>0.1089</v>
      </c>
    </row>
    <row r="11" spans="2:7" x14ac:dyDescent="0.35">
      <c r="B11" s="68" t="s">
        <v>411</v>
      </c>
      <c r="C11" s="70">
        <v>44.493150700000001</v>
      </c>
      <c r="D11" s="70">
        <v>48.4501992</v>
      </c>
      <c r="E11" s="40">
        <v>0.75</v>
      </c>
      <c r="F11" s="40">
        <v>0.38640000000000002</v>
      </c>
    </row>
    <row r="12" spans="2:7" ht="29" x14ac:dyDescent="0.35">
      <c r="B12" s="68" t="s">
        <v>412</v>
      </c>
      <c r="C12" s="70">
        <v>47.301369899999997</v>
      </c>
      <c r="D12" s="70">
        <v>49.426294800000001</v>
      </c>
      <c r="E12" s="40">
        <v>5.22</v>
      </c>
      <c r="F12" s="40">
        <v>2.2800000000000001E-2</v>
      </c>
    </row>
    <row r="13" spans="2:7" x14ac:dyDescent="0.35">
      <c r="B13" s="68" t="s">
        <v>413</v>
      </c>
      <c r="C13" s="70">
        <v>55.315068500000002</v>
      </c>
      <c r="D13" s="70">
        <v>50.1752988</v>
      </c>
      <c r="E13" s="40">
        <v>0.73</v>
      </c>
      <c r="F13" s="40">
        <v>0.39219999999999999</v>
      </c>
    </row>
    <row r="14" spans="2:7" x14ac:dyDescent="0.35">
      <c r="B14" s="68" t="s">
        <v>414</v>
      </c>
      <c r="C14" s="70">
        <v>43.086758000000003</v>
      </c>
      <c r="D14" s="70">
        <v>45.111553800000003</v>
      </c>
      <c r="E14" s="40">
        <v>2.2000000000000002</v>
      </c>
      <c r="F14" s="40">
        <v>0.13830000000000001</v>
      </c>
    </row>
    <row r="15" spans="2:7" x14ac:dyDescent="0.35">
      <c r="B15" s="68" t="s">
        <v>415</v>
      </c>
      <c r="C15" s="70">
        <v>36.561643799999999</v>
      </c>
      <c r="D15" s="70">
        <v>40.537848599999997</v>
      </c>
      <c r="E15" s="40">
        <v>0.31</v>
      </c>
      <c r="F15" s="40">
        <v>0.57869999999999999</v>
      </c>
    </row>
    <row r="16" spans="2:7" x14ac:dyDescent="0.35">
      <c r="B16" s="68" t="s">
        <v>416</v>
      </c>
      <c r="C16" s="70">
        <v>36.844748899999999</v>
      </c>
      <c r="D16" s="70">
        <v>37.944223100000002</v>
      </c>
      <c r="E16" s="40">
        <v>2.95</v>
      </c>
      <c r="F16" s="40">
        <v>8.6800000000000002E-2</v>
      </c>
    </row>
    <row r="17" spans="2:6" ht="29" x14ac:dyDescent="0.35">
      <c r="B17" s="68" t="s">
        <v>417</v>
      </c>
      <c r="C17" s="70">
        <v>43.625570799999998</v>
      </c>
      <c r="D17" s="70">
        <v>47.836653400000003</v>
      </c>
      <c r="E17" s="40">
        <v>2.13</v>
      </c>
      <c r="F17" s="40">
        <v>0.14480000000000001</v>
      </c>
    </row>
    <row r="18" spans="2:6" x14ac:dyDescent="0.35">
      <c r="B18" s="68" t="s">
        <v>418</v>
      </c>
      <c r="C18" s="70">
        <v>42.689497699999997</v>
      </c>
      <c r="D18" s="70">
        <v>46.394422300000002</v>
      </c>
      <c r="E18" s="40">
        <v>1.98</v>
      </c>
      <c r="F18" s="40">
        <v>0.1603</v>
      </c>
    </row>
    <row r="19" spans="2:6" x14ac:dyDescent="0.35">
      <c r="B19" s="68" t="s">
        <v>419</v>
      </c>
      <c r="C19" s="70">
        <v>44.904109599999998</v>
      </c>
      <c r="D19" s="70">
        <v>48.330677299999998</v>
      </c>
      <c r="E19" s="40">
        <v>2.21</v>
      </c>
      <c r="F19" s="40">
        <v>0.13800000000000001</v>
      </c>
    </row>
    <row r="20" spans="2:6" x14ac:dyDescent="0.35">
      <c r="B20" s="68" t="s">
        <v>420</v>
      </c>
      <c r="C20" s="70">
        <v>42.228310499999999</v>
      </c>
      <c r="D20" s="70">
        <v>46.219123500000002</v>
      </c>
      <c r="E20" s="40">
        <v>1.62</v>
      </c>
      <c r="F20" s="40">
        <v>0.2036</v>
      </c>
    </row>
    <row r="21" spans="2:6" x14ac:dyDescent="0.35">
      <c r="B21" s="68" t="s">
        <v>421</v>
      </c>
      <c r="C21" s="70">
        <v>42.575342499999998</v>
      </c>
      <c r="D21" s="70">
        <v>45.494023900000002</v>
      </c>
      <c r="E21" s="40">
        <v>1.62</v>
      </c>
      <c r="F21" s="40">
        <v>0.2036</v>
      </c>
    </row>
    <row r="22" spans="2:6" x14ac:dyDescent="0.35">
      <c r="B22" s="68" t="s">
        <v>422</v>
      </c>
      <c r="C22" s="70">
        <v>44.8310502</v>
      </c>
      <c r="D22" s="70">
        <v>47.071713099999997</v>
      </c>
      <c r="E22" s="40">
        <v>0.88</v>
      </c>
      <c r="F22" s="40">
        <v>0.34739999999999999</v>
      </c>
    </row>
    <row r="23" spans="2:6" x14ac:dyDescent="0.35">
      <c r="B23" s="68" t="s">
        <v>423</v>
      </c>
      <c r="C23" s="70">
        <v>54.316666699999999</v>
      </c>
      <c r="D23" s="70">
        <v>53.522629500000001</v>
      </c>
      <c r="E23" s="40">
        <v>1.53</v>
      </c>
      <c r="F23" s="40">
        <v>0.21679999999999999</v>
      </c>
    </row>
    <row r="24" spans="2:6" x14ac:dyDescent="0.35">
      <c r="B24" s="68" t="s">
        <v>424</v>
      </c>
      <c r="C24" s="70">
        <v>36380.480000000003</v>
      </c>
      <c r="D24" s="70">
        <v>38868.03</v>
      </c>
      <c r="E24" s="40">
        <v>6.51</v>
      </c>
      <c r="F24" s="40">
        <v>1.0999999999999999E-2</v>
      </c>
    </row>
    <row r="25" spans="2:6" x14ac:dyDescent="0.35">
      <c r="B25" s="68" t="s">
        <v>425</v>
      </c>
      <c r="C25" s="70">
        <v>302719.5</v>
      </c>
      <c r="D25" s="70">
        <v>334084.28000000003</v>
      </c>
      <c r="E25" s="40">
        <v>4.8600000000000003</v>
      </c>
      <c r="F25" s="40">
        <v>2.8000000000000001E-2</v>
      </c>
    </row>
    <row r="26" spans="2:6" x14ac:dyDescent="0.35">
      <c r="B26" s="68" t="s">
        <v>426</v>
      </c>
      <c r="C26" s="70">
        <v>90053.04</v>
      </c>
      <c r="D26" s="70">
        <v>96996.43</v>
      </c>
      <c r="E26" s="40">
        <v>7.12</v>
      </c>
      <c r="F26" s="40">
        <v>7.9000000000000008E-3</v>
      </c>
    </row>
    <row r="27" spans="2:6" x14ac:dyDescent="0.35">
      <c r="B27" s="68" t="s">
        <v>427</v>
      </c>
      <c r="C27" s="70">
        <v>39.596803700000002</v>
      </c>
      <c r="D27" s="70">
        <v>39.515139400000002</v>
      </c>
      <c r="E27" s="40">
        <v>0.04</v>
      </c>
      <c r="F27" s="40">
        <v>0.83789999999999998</v>
      </c>
    </row>
    <row r="28" spans="2:6" x14ac:dyDescent="0.35">
      <c r="B28" s="68" t="s">
        <v>428</v>
      </c>
      <c r="C28" s="70">
        <v>38153.550000000003</v>
      </c>
      <c r="D28" s="70">
        <v>45750.05</v>
      </c>
      <c r="E28" s="40">
        <v>2.95</v>
      </c>
      <c r="F28" s="40">
        <v>8.6699999999999999E-2</v>
      </c>
    </row>
    <row r="29" spans="2:6" x14ac:dyDescent="0.35">
      <c r="B29" s="68" t="s">
        <v>429</v>
      </c>
      <c r="C29" s="70">
        <v>14331.24</v>
      </c>
      <c r="D29" s="70">
        <v>18131.5</v>
      </c>
      <c r="E29" s="40">
        <v>2.92</v>
      </c>
      <c r="F29" s="40">
        <v>8.8300000000000003E-2</v>
      </c>
    </row>
    <row r="30" spans="2:6" ht="29" x14ac:dyDescent="0.35">
      <c r="B30" s="68" t="s">
        <v>430</v>
      </c>
      <c r="C30" s="70">
        <v>34.2412785</v>
      </c>
      <c r="D30" s="70">
        <v>34.387250999999999</v>
      </c>
      <c r="E30" s="40">
        <v>0.02</v>
      </c>
      <c r="F30" s="40">
        <v>0.89780000000000004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1194-6AF8-4668-93E1-941D16B3AC00}">
  <dimension ref="B3:F30"/>
  <sheetViews>
    <sheetView tabSelected="1" workbookViewId="0">
      <selection activeCell="G7" sqref="G7"/>
    </sheetView>
  </sheetViews>
  <sheetFormatPr defaultRowHeight="14.5" x14ac:dyDescent="0.35"/>
  <cols>
    <col min="2" max="2" width="58.26953125" style="68" customWidth="1"/>
    <col min="3" max="4" width="10.36328125" style="7" bestFit="1" customWidth="1"/>
    <col min="5" max="6" width="8.7265625" style="40"/>
  </cols>
  <sheetData>
    <row r="3" spans="2:6" ht="16.5" x14ac:dyDescent="0.45">
      <c r="B3" s="69"/>
      <c r="C3" s="8" t="s">
        <v>431</v>
      </c>
      <c r="D3" s="8" t="s">
        <v>432</v>
      </c>
      <c r="E3" s="39" t="s">
        <v>403</v>
      </c>
      <c r="F3" s="39" t="s">
        <v>29</v>
      </c>
    </row>
    <row r="4" spans="2:6" ht="29" x14ac:dyDescent="0.35">
      <c r="B4" s="68" t="s">
        <v>404</v>
      </c>
      <c r="C4" s="70">
        <v>0.59750239999999999</v>
      </c>
      <c r="D4" s="70">
        <v>0.58156490000000005</v>
      </c>
      <c r="E4" s="40">
        <v>0.31</v>
      </c>
      <c r="F4" s="40">
        <v>0.57650000000000001</v>
      </c>
    </row>
    <row r="5" spans="2:6" x14ac:dyDescent="0.35">
      <c r="B5" s="68" t="s">
        <v>405</v>
      </c>
      <c r="C5" s="70">
        <v>47.0416667</v>
      </c>
      <c r="D5" s="70">
        <v>42.676000000000002</v>
      </c>
      <c r="E5" s="40">
        <v>3.38</v>
      </c>
      <c r="F5" s="40">
        <v>6.6600000000000006E-2</v>
      </c>
    </row>
    <row r="6" spans="2:6" x14ac:dyDescent="0.35">
      <c r="B6" s="68" t="s">
        <v>406</v>
      </c>
      <c r="C6" s="70">
        <v>48.9791667</v>
      </c>
      <c r="D6" s="70">
        <v>46.131999999999998</v>
      </c>
      <c r="E6" s="40">
        <v>1.48</v>
      </c>
      <c r="F6" s="40">
        <v>0.22439999999999999</v>
      </c>
    </row>
    <row r="7" spans="2:6" x14ac:dyDescent="0.35">
      <c r="B7" s="68" t="s">
        <v>407</v>
      </c>
      <c r="C7" s="70">
        <v>40.379166699999999</v>
      </c>
      <c r="D7" s="70">
        <v>38.124000000000002</v>
      </c>
      <c r="E7" s="40">
        <v>0.98</v>
      </c>
      <c r="F7" s="40">
        <v>0.3236</v>
      </c>
    </row>
    <row r="8" spans="2:6" x14ac:dyDescent="0.35">
      <c r="B8" s="68" t="s">
        <v>408</v>
      </c>
      <c r="C8" s="70">
        <v>47.533333300000002</v>
      </c>
      <c r="D8" s="70">
        <v>42.74</v>
      </c>
      <c r="E8" s="40">
        <v>4</v>
      </c>
      <c r="F8" s="40">
        <v>4.5999999999999999E-2</v>
      </c>
    </row>
    <row r="9" spans="2:6" x14ac:dyDescent="0.35">
      <c r="B9" s="68" t="s">
        <v>409</v>
      </c>
      <c r="C9" s="70">
        <v>47.058333300000001</v>
      </c>
      <c r="D9" s="70">
        <v>46.404000000000003</v>
      </c>
      <c r="E9" s="40">
        <v>0.06</v>
      </c>
      <c r="F9" s="40">
        <v>0.80269999999999997</v>
      </c>
    </row>
    <row r="10" spans="2:6" x14ac:dyDescent="0.35">
      <c r="B10" s="68" t="s">
        <v>410</v>
      </c>
      <c r="C10" s="70">
        <v>50.1458333</v>
      </c>
      <c r="D10" s="70">
        <v>44.74</v>
      </c>
      <c r="E10" s="40">
        <v>5.17</v>
      </c>
      <c r="F10" s="40">
        <v>2.3400000000000001E-2</v>
      </c>
    </row>
    <row r="11" spans="2:6" x14ac:dyDescent="0.35">
      <c r="B11" s="68" t="s">
        <v>411</v>
      </c>
      <c r="C11" s="70">
        <v>48.962499999999999</v>
      </c>
      <c r="D11" s="70">
        <v>44.991999999999997</v>
      </c>
      <c r="E11" s="40">
        <v>2.68</v>
      </c>
      <c r="F11" s="40">
        <v>0.10249999999999999</v>
      </c>
    </row>
    <row r="12" spans="2:6" ht="29" x14ac:dyDescent="0.35">
      <c r="B12" s="68" t="s">
        <v>412</v>
      </c>
      <c r="C12" s="70">
        <v>47.9166667</v>
      </c>
      <c r="D12" s="70">
        <v>49.74</v>
      </c>
      <c r="E12" s="40">
        <v>0.56999999999999995</v>
      </c>
      <c r="F12" s="40">
        <v>0.44869999999999999</v>
      </c>
    </row>
    <row r="13" spans="2:6" x14ac:dyDescent="0.35">
      <c r="B13" s="68" t="s">
        <v>413</v>
      </c>
      <c r="C13" s="70">
        <v>52.483333299999998</v>
      </c>
      <c r="D13" s="70">
        <v>52.26</v>
      </c>
      <c r="E13" s="40">
        <v>0.01</v>
      </c>
      <c r="F13" s="40">
        <v>0.91959999999999997</v>
      </c>
    </row>
    <row r="14" spans="2:6" x14ac:dyDescent="0.35">
      <c r="B14" s="68" t="s">
        <v>414</v>
      </c>
      <c r="C14" s="70">
        <v>44.779166699999998</v>
      </c>
      <c r="D14" s="70">
        <v>44.167999999999999</v>
      </c>
      <c r="E14" s="40">
        <v>7.0000000000000007E-2</v>
      </c>
      <c r="F14" s="40">
        <v>0.79169999999999996</v>
      </c>
    </row>
    <row r="15" spans="2:6" x14ac:dyDescent="0.35">
      <c r="B15" s="68" t="s">
        <v>415</v>
      </c>
      <c r="C15" s="70">
        <v>41.141666700000002</v>
      </c>
      <c r="D15" s="70">
        <v>37.223999999999997</v>
      </c>
      <c r="E15" s="40">
        <v>2.2400000000000002</v>
      </c>
      <c r="F15" s="40">
        <v>0.13539999999999999</v>
      </c>
    </row>
    <row r="16" spans="2:6" x14ac:dyDescent="0.35">
      <c r="B16" s="68" t="s">
        <v>416</v>
      </c>
      <c r="C16" s="70">
        <v>38.391666700000002</v>
      </c>
      <c r="D16" s="70">
        <v>36.68</v>
      </c>
      <c r="E16" s="40">
        <v>0.78</v>
      </c>
      <c r="F16" s="40">
        <v>0.37619999999999998</v>
      </c>
    </row>
    <row r="17" spans="2:6" ht="29" x14ac:dyDescent="0.35">
      <c r="B17" s="68" t="s">
        <v>417</v>
      </c>
      <c r="C17" s="70">
        <v>48.508333299999997</v>
      </c>
      <c r="D17" s="70">
        <v>44.155999999999999</v>
      </c>
      <c r="E17" s="40">
        <v>3.25</v>
      </c>
      <c r="F17" s="40">
        <v>7.2099999999999997E-2</v>
      </c>
    </row>
    <row r="18" spans="2:6" x14ac:dyDescent="0.35">
      <c r="B18" s="68" t="s">
        <v>418</v>
      </c>
      <c r="C18" s="70">
        <v>47.9166667</v>
      </c>
      <c r="D18" s="70">
        <v>42.527999999999999</v>
      </c>
      <c r="E18" s="40">
        <v>4.68</v>
      </c>
      <c r="F18" s="40">
        <v>3.09E-2</v>
      </c>
    </row>
    <row r="19" spans="2:6" x14ac:dyDescent="0.35">
      <c r="B19" s="68" t="s">
        <v>419</v>
      </c>
      <c r="C19" s="70">
        <v>49.154166699999998</v>
      </c>
      <c r="D19" s="70">
        <v>45.107999999999997</v>
      </c>
      <c r="E19" s="40">
        <v>2.87</v>
      </c>
      <c r="F19" s="40">
        <v>9.11E-2</v>
      </c>
    </row>
    <row r="20" spans="2:6" x14ac:dyDescent="0.35">
      <c r="B20" s="68" t="s">
        <v>420</v>
      </c>
      <c r="C20" s="70">
        <v>46.595833300000002</v>
      </c>
      <c r="D20" s="70">
        <v>43.048000000000002</v>
      </c>
      <c r="E20" s="40">
        <v>1.8</v>
      </c>
      <c r="F20" s="40">
        <v>0.18</v>
      </c>
    </row>
    <row r="21" spans="2:6" x14ac:dyDescent="0.35">
      <c r="B21" s="68" t="s">
        <v>421</v>
      </c>
      <c r="C21" s="70">
        <v>46.441666699999999</v>
      </c>
      <c r="D21" s="70">
        <v>42.576000000000001</v>
      </c>
      <c r="E21" s="40">
        <v>2.94</v>
      </c>
      <c r="F21" s="40">
        <v>8.6900000000000005E-2</v>
      </c>
    </row>
    <row r="22" spans="2:6" x14ac:dyDescent="0.35">
      <c r="B22" s="68" t="s">
        <v>422</v>
      </c>
      <c r="C22" s="70">
        <v>47.945833299999997</v>
      </c>
      <c r="D22" s="70">
        <v>44.375999999999998</v>
      </c>
      <c r="E22" s="40">
        <v>2.35</v>
      </c>
      <c r="F22" s="40">
        <v>0.12609999999999999</v>
      </c>
    </row>
    <row r="23" spans="2:6" x14ac:dyDescent="0.35">
      <c r="B23" s="68" t="s">
        <v>423</v>
      </c>
      <c r="C23" s="70">
        <v>54.297125000000001</v>
      </c>
      <c r="D23" s="70">
        <v>53.271799999999999</v>
      </c>
      <c r="E23" s="40">
        <v>2.69</v>
      </c>
      <c r="F23" s="40">
        <v>0.1017</v>
      </c>
    </row>
    <row r="24" spans="2:6" x14ac:dyDescent="0.35">
      <c r="B24" s="68" t="s">
        <v>424</v>
      </c>
      <c r="C24" s="70">
        <v>38569.22</v>
      </c>
      <c r="D24" s="70">
        <v>37167.870000000003</v>
      </c>
      <c r="E24" s="40">
        <v>2.11</v>
      </c>
      <c r="F24" s="40">
        <v>0.14660000000000001</v>
      </c>
    </row>
    <row r="25" spans="2:6" x14ac:dyDescent="0.35">
      <c r="B25" s="68" t="s">
        <v>425</v>
      </c>
      <c r="C25" s="70">
        <v>317353.56</v>
      </c>
      <c r="D25" s="70">
        <v>324840.18</v>
      </c>
      <c r="E25" s="40">
        <v>0.28999999999999998</v>
      </c>
      <c r="F25" s="40">
        <v>0.59240000000000004</v>
      </c>
    </row>
    <row r="26" spans="2:6" x14ac:dyDescent="0.35">
      <c r="B26" s="68" t="s">
        <v>426</v>
      </c>
      <c r="C26" s="70">
        <v>95926.01</v>
      </c>
      <c r="D26" s="70">
        <v>92450.2</v>
      </c>
      <c r="E26" s="40">
        <v>1.82</v>
      </c>
      <c r="F26" s="40">
        <v>0.17849999999999999</v>
      </c>
    </row>
    <row r="27" spans="2:6" x14ac:dyDescent="0.35">
      <c r="B27" s="68" t="s">
        <v>427</v>
      </c>
      <c r="C27" s="70">
        <v>39.717916700000004</v>
      </c>
      <c r="D27" s="70">
        <v>39.230800000000002</v>
      </c>
      <c r="E27" s="40">
        <v>1.56</v>
      </c>
      <c r="F27" s="40">
        <v>0.21290000000000001</v>
      </c>
    </row>
    <row r="28" spans="2:6" x14ac:dyDescent="0.35">
      <c r="B28" s="68" t="s">
        <v>428</v>
      </c>
      <c r="C28" s="70">
        <v>39306.6</v>
      </c>
      <c r="D28" s="70">
        <v>45773.96</v>
      </c>
      <c r="E28" s="40">
        <v>2.25</v>
      </c>
      <c r="F28" s="40">
        <v>0.13439999999999999</v>
      </c>
    </row>
    <row r="29" spans="2:6" x14ac:dyDescent="0.35">
      <c r="B29" s="68" t="s">
        <v>429</v>
      </c>
      <c r="C29" s="70">
        <v>14636.95</v>
      </c>
      <c r="D29" s="70">
        <v>18310.03</v>
      </c>
      <c r="E29" s="40">
        <v>2.89</v>
      </c>
      <c r="F29" s="40">
        <v>8.9899999999999994E-2</v>
      </c>
    </row>
    <row r="30" spans="2:6" ht="29" x14ac:dyDescent="0.35">
      <c r="B30" s="68" t="s">
        <v>430</v>
      </c>
      <c r="C30" s="70">
        <v>33.4613333</v>
      </c>
      <c r="D30" s="70">
        <v>35.422080000000001</v>
      </c>
      <c r="E30" s="40">
        <v>3.13</v>
      </c>
      <c r="F30" s="40">
        <v>7.7399999999999997E-2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E6CA-041D-4158-A740-0AEF1DCCD01A}">
  <dimension ref="B1:G554"/>
  <sheetViews>
    <sheetView topLeftCell="A73" workbookViewId="0">
      <selection activeCell="A41" sqref="A41"/>
    </sheetView>
  </sheetViews>
  <sheetFormatPr defaultRowHeight="14.5" x14ac:dyDescent="0.35"/>
  <cols>
    <col min="2" max="2" width="8.7265625" style="14"/>
  </cols>
  <sheetData>
    <row r="1" spans="2:7" x14ac:dyDescent="0.35">
      <c r="B1" s="50" t="s">
        <v>306</v>
      </c>
    </row>
    <row r="2" spans="2:7" ht="15" thickBot="1" x14ac:dyDescent="0.4"/>
    <row r="3" spans="2:7" ht="15" thickBot="1" x14ac:dyDescent="0.4">
      <c r="B3" s="77" t="s">
        <v>307</v>
      </c>
      <c r="C3" s="78"/>
      <c r="D3" s="78"/>
    </row>
    <row r="4" spans="2:7" ht="15" thickBot="1" x14ac:dyDescent="0.4">
      <c r="B4" s="52" t="s">
        <v>308</v>
      </c>
      <c r="C4" s="1" t="s">
        <v>309</v>
      </c>
      <c r="D4" s="4" t="s">
        <v>310</v>
      </c>
    </row>
    <row r="5" spans="2:7" x14ac:dyDescent="0.35">
      <c r="B5" s="53" t="s">
        <v>397</v>
      </c>
      <c r="C5" s="5">
        <v>2</v>
      </c>
      <c r="D5" s="6" t="s">
        <v>311</v>
      </c>
    </row>
    <row r="6" spans="2:7" ht="15" thickBot="1" x14ac:dyDescent="0.4"/>
    <row r="7" spans="2:7" ht="15" thickBot="1" x14ac:dyDescent="0.4">
      <c r="B7" s="54" t="s">
        <v>312</v>
      </c>
      <c r="C7" s="41">
        <v>490</v>
      </c>
    </row>
    <row r="8" spans="2:7" x14ac:dyDescent="0.35">
      <c r="B8" s="53" t="s">
        <v>313</v>
      </c>
      <c r="C8" s="42">
        <v>490</v>
      </c>
    </row>
    <row r="12" spans="2:7" x14ac:dyDescent="0.35">
      <c r="B12" s="50" t="s">
        <v>306</v>
      </c>
    </row>
    <row r="13" spans="2:7" x14ac:dyDescent="0.35">
      <c r="B13" s="50"/>
    </row>
    <row r="14" spans="2:7" x14ac:dyDescent="0.35">
      <c r="B14" s="50" t="s">
        <v>314</v>
      </c>
    </row>
    <row r="15" spans="2:7" ht="15" thickBot="1" x14ac:dyDescent="0.4"/>
    <row r="16" spans="2:7" ht="27" thickBot="1" x14ac:dyDescent="0.4">
      <c r="B16" s="55" t="s">
        <v>315</v>
      </c>
      <c r="C16" s="43" t="s">
        <v>316</v>
      </c>
      <c r="D16" s="43" t="s">
        <v>317</v>
      </c>
      <c r="E16" s="43" t="s">
        <v>318</v>
      </c>
      <c r="F16" s="43" t="s">
        <v>319</v>
      </c>
      <c r="G16" s="44" t="s">
        <v>320</v>
      </c>
    </row>
    <row r="17" spans="2:7" ht="15" thickBot="1" x14ac:dyDescent="0.4">
      <c r="B17" s="56" t="s">
        <v>321</v>
      </c>
      <c r="C17" s="3">
        <v>1</v>
      </c>
      <c r="D17" s="3">
        <v>3.11027E-2</v>
      </c>
      <c r="E17" s="3">
        <v>3.11027E-2</v>
      </c>
      <c r="F17" s="3">
        <v>0.31</v>
      </c>
      <c r="G17" s="45">
        <v>0.57650000000000001</v>
      </c>
    </row>
    <row r="18" spans="2:7" ht="15" thickBot="1" x14ac:dyDescent="0.4">
      <c r="B18" s="56" t="s">
        <v>322</v>
      </c>
      <c r="C18" s="3">
        <v>488</v>
      </c>
      <c r="D18" s="3">
        <v>48.594486070000002</v>
      </c>
      <c r="E18" s="3">
        <v>9.9578860000000005E-2</v>
      </c>
      <c r="F18" s="3"/>
      <c r="G18" s="45"/>
    </row>
    <row r="19" spans="2:7" x14ac:dyDescent="0.35">
      <c r="B19" s="53" t="s">
        <v>323</v>
      </c>
      <c r="C19" s="5">
        <v>489</v>
      </c>
      <c r="D19" s="5">
        <v>48.62558877</v>
      </c>
      <c r="E19" s="5"/>
      <c r="F19" s="5"/>
      <c r="G19" s="42"/>
    </row>
    <row r="20" spans="2:7" ht="15" thickBot="1" x14ac:dyDescent="0.4"/>
    <row r="21" spans="2:7" ht="66" thickBot="1" x14ac:dyDescent="0.4">
      <c r="B21" s="55" t="s">
        <v>324</v>
      </c>
      <c r="C21" s="43" t="s">
        <v>325</v>
      </c>
      <c r="D21" s="43" t="s">
        <v>326</v>
      </c>
      <c r="E21" s="44" t="s">
        <v>327</v>
      </c>
    </row>
    <row r="22" spans="2:7" x14ac:dyDescent="0.35">
      <c r="B22" s="57">
        <v>6.4000000000000005E-4</v>
      </c>
      <c r="C22" s="5">
        <v>53.542029999999997</v>
      </c>
      <c r="D22" s="5">
        <v>0.31556099999999998</v>
      </c>
      <c r="E22" s="42">
        <v>0.58937099999999998</v>
      </c>
    </row>
    <row r="23" spans="2:7" ht="15" thickBot="1" x14ac:dyDescent="0.4"/>
    <row r="24" spans="2:7" ht="27" thickBot="1" x14ac:dyDescent="0.4">
      <c r="B24" s="55" t="s">
        <v>315</v>
      </c>
      <c r="C24" s="43" t="s">
        <v>316</v>
      </c>
      <c r="D24" s="43" t="s">
        <v>328</v>
      </c>
      <c r="E24" s="43" t="s">
        <v>318</v>
      </c>
      <c r="F24" s="43" t="s">
        <v>319</v>
      </c>
      <c r="G24" s="44" t="s">
        <v>320</v>
      </c>
    </row>
    <row r="25" spans="2:7" x14ac:dyDescent="0.35">
      <c r="B25" s="53" t="s">
        <v>397</v>
      </c>
      <c r="C25" s="5">
        <v>1</v>
      </c>
      <c r="D25" s="5">
        <v>3.11027E-2</v>
      </c>
      <c r="E25" s="5">
        <v>3.11027E-2</v>
      </c>
      <c r="F25" s="5">
        <v>0.31</v>
      </c>
      <c r="G25" s="42">
        <v>0.57650000000000001</v>
      </c>
    </row>
    <row r="26" spans="2:7" x14ac:dyDescent="0.35">
      <c r="B26" s="51"/>
    </row>
    <row r="27" spans="2:7" x14ac:dyDescent="0.35">
      <c r="B27" s="51"/>
    </row>
    <row r="31" spans="2:7" x14ac:dyDescent="0.35">
      <c r="B31" s="50" t="s">
        <v>306</v>
      </c>
    </row>
    <row r="32" spans="2:7" x14ac:dyDescent="0.35">
      <c r="B32" s="50"/>
    </row>
    <row r="33" spans="2:7" x14ac:dyDescent="0.35">
      <c r="B33" s="50" t="s">
        <v>329</v>
      </c>
    </row>
    <row r="34" spans="2:7" ht="15" thickBot="1" x14ac:dyDescent="0.4"/>
    <row r="35" spans="2:7" ht="27" thickBot="1" x14ac:dyDescent="0.4">
      <c r="B35" s="55" t="s">
        <v>315</v>
      </c>
      <c r="C35" s="43" t="s">
        <v>316</v>
      </c>
      <c r="D35" s="43" t="s">
        <v>317</v>
      </c>
      <c r="E35" s="43" t="s">
        <v>318</v>
      </c>
      <c r="F35" s="43" t="s">
        <v>319</v>
      </c>
      <c r="G35" s="44" t="s">
        <v>320</v>
      </c>
    </row>
    <row r="36" spans="2:7" ht="15" thickBot="1" x14ac:dyDescent="0.4">
      <c r="B36" s="56" t="s">
        <v>321</v>
      </c>
      <c r="C36" s="3">
        <v>1</v>
      </c>
      <c r="D36" s="3">
        <v>2333.7606999999998</v>
      </c>
      <c r="E36" s="3">
        <v>2333.7606999999998</v>
      </c>
      <c r="F36" s="3">
        <v>3.38</v>
      </c>
      <c r="G36" s="45">
        <v>6.6600000000000006E-2</v>
      </c>
    </row>
    <row r="37" spans="2:7" ht="15" thickBot="1" x14ac:dyDescent="0.4">
      <c r="B37" s="56" t="s">
        <v>322</v>
      </c>
      <c r="C37" s="3">
        <v>488</v>
      </c>
      <c r="D37" s="3">
        <v>336980.33929999999</v>
      </c>
      <c r="E37" s="3">
        <v>690.5335</v>
      </c>
      <c r="F37" s="3"/>
      <c r="G37" s="45"/>
    </row>
    <row r="38" spans="2:7" x14ac:dyDescent="0.35">
      <c r="B38" s="53" t="s">
        <v>323</v>
      </c>
      <c r="C38" s="5">
        <v>489</v>
      </c>
      <c r="D38" s="5">
        <v>339314.1</v>
      </c>
      <c r="E38" s="5"/>
      <c r="F38" s="5"/>
      <c r="G38" s="42"/>
    </row>
    <row r="39" spans="2:7" ht="15" thickBot="1" x14ac:dyDescent="0.4"/>
    <row r="40" spans="2:7" ht="27" thickBot="1" x14ac:dyDescent="0.4">
      <c r="B40" s="55" t="s">
        <v>324</v>
      </c>
      <c r="C40" s="43" t="s">
        <v>325</v>
      </c>
      <c r="D40" s="43" t="s">
        <v>326</v>
      </c>
      <c r="E40" s="44" t="s">
        <v>330</v>
      </c>
    </row>
    <row r="41" spans="2:7" x14ac:dyDescent="0.35">
      <c r="B41" s="57">
        <v>6.8780000000000004E-3</v>
      </c>
      <c r="C41" s="5">
        <v>58.637560000000001</v>
      </c>
      <c r="D41" s="5">
        <v>26.277999999999999</v>
      </c>
      <c r="E41" s="42">
        <v>44.81429</v>
      </c>
    </row>
    <row r="42" spans="2:7" ht="15" thickBot="1" x14ac:dyDescent="0.4"/>
    <row r="43" spans="2:7" ht="27" thickBot="1" x14ac:dyDescent="0.4">
      <c r="B43" s="55" t="s">
        <v>315</v>
      </c>
      <c r="C43" s="43" t="s">
        <v>316</v>
      </c>
      <c r="D43" s="43" t="s">
        <v>328</v>
      </c>
      <c r="E43" s="43" t="s">
        <v>318</v>
      </c>
      <c r="F43" s="43" t="s">
        <v>319</v>
      </c>
      <c r="G43" s="44" t="s">
        <v>320</v>
      </c>
    </row>
    <row r="44" spans="2:7" x14ac:dyDescent="0.35">
      <c r="B44" s="53" t="s">
        <v>397</v>
      </c>
      <c r="C44" s="5">
        <v>1</v>
      </c>
      <c r="D44" s="5">
        <v>2333.760667</v>
      </c>
      <c r="E44" s="5">
        <v>2333.760667</v>
      </c>
      <c r="F44" s="5">
        <v>3.38</v>
      </c>
      <c r="G44" s="42">
        <v>6.6600000000000006E-2</v>
      </c>
    </row>
    <row r="45" spans="2:7" x14ac:dyDescent="0.35">
      <c r="B45" s="51"/>
    </row>
    <row r="46" spans="2:7" x14ac:dyDescent="0.35">
      <c r="B46" s="51"/>
    </row>
    <row r="50" spans="2:7" x14ac:dyDescent="0.35">
      <c r="B50" s="50" t="s">
        <v>306</v>
      </c>
    </row>
    <row r="51" spans="2:7" x14ac:dyDescent="0.35">
      <c r="B51" s="50"/>
    </row>
    <row r="52" spans="2:7" x14ac:dyDescent="0.35">
      <c r="B52" s="50" t="s">
        <v>331</v>
      </c>
    </row>
    <row r="53" spans="2:7" ht="15" thickBot="1" x14ac:dyDescent="0.4"/>
    <row r="54" spans="2:7" ht="27" thickBot="1" x14ac:dyDescent="0.4">
      <c r="B54" s="55" t="s">
        <v>315</v>
      </c>
      <c r="C54" s="43" t="s">
        <v>316</v>
      </c>
      <c r="D54" s="43" t="s">
        <v>317</v>
      </c>
      <c r="E54" s="43" t="s">
        <v>318</v>
      </c>
      <c r="F54" s="43" t="s">
        <v>319</v>
      </c>
      <c r="G54" s="44" t="s">
        <v>320</v>
      </c>
    </row>
    <row r="55" spans="2:7" ht="15" thickBot="1" x14ac:dyDescent="0.4">
      <c r="B55" s="56" t="s">
        <v>321</v>
      </c>
      <c r="C55" s="3">
        <v>1</v>
      </c>
      <c r="D55" s="3">
        <v>992.61530000000005</v>
      </c>
      <c r="E55" s="3">
        <v>992.61530000000005</v>
      </c>
      <c r="F55" s="3">
        <v>1.48</v>
      </c>
      <c r="G55" s="45">
        <v>0.22439999999999999</v>
      </c>
    </row>
    <row r="56" spans="2:7" ht="15" thickBot="1" x14ac:dyDescent="0.4">
      <c r="B56" s="56" t="s">
        <v>322</v>
      </c>
      <c r="C56" s="3">
        <v>488</v>
      </c>
      <c r="D56" s="3">
        <v>327377.53980000003</v>
      </c>
      <c r="E56" s="3">
        <v>670.85559999999998</v>
      </c>
      <c r="F56" s="3"/>
      <c r="G56" s="45"/>
    </row>
    <row r="57" spans="2:7" x14ac:dyDescent="0.35">
      <c r="B57" s="53" t="s">
        <v>323</v>
      </c>
      <c r="C57" s="5">
        <v>489</v>
      </c>
      <c r="D57" s="5">
        <v>328370.15509999997</v>
      </c>
      <c r="E57" s="5"/>
      <c r="F57" s="5"/>
      <c r="G57" s="42"/>
    </row>
    <row r="58" spans="2:7" ht="15" thickBot="1" x14ac:dyDescent="0.4"/>
    <row r="59" spans="2:7" ht="40" thickBot="1" x14ac:dyDescent="0.4">
      <c r="B59" s="55" t="s">
        <v>324</v>
      </c>
      <c r="C59" s="43" t="s">
        <v>325</v>
      </c>
      <c r="D59" s="43" t="s">
        <v>326</v>
      </c>
      <c r="E59" s="44" t="s">
        <v>332</v>
      </c>
    </row>
    <row r="60" spans="2:7" x14ac:dyDescent="0.35">
      <c r="B60" s="57">
        <v>3.0230000000000001E-3</v>
      </c>
      <c r="C60" s="5">
        <v>54.497729999999997</v>
      </c>
      <c r="D60" s="5">
        <v>25.900880000000001</v>
      </c>
      <c r="E60" s="42">
        <v>47.526530000000001</v>
      </c>
    </row>
    <row r="61" spans="2:7" ht="15" thickBot="1" x14ac:dyDescent="0.4"/>
    <row r="62" spans="2:7" ht="27" thickBot="1" x14ac:dyDescent="0.4">
      <c r="B62" s="55" t="s">
        <v>315</v>
      </c>
      <c r="C62" s="43" t="s">
        <v>316</v>
      </c>
      <c r="D62" s="43" t="s">
        <v>328</v>
      </c>
      <c r="E62" s="43" t="s">
        <v>318</v>
      </c>
      <c r="F62" s="43" t="s">
        <v>319</v>
      </c>
      <c r="G62" s="44" t="s">
        <v>320</v>
      </c>
    </row>
    <row r="63" spans="2:7" x14ac:dyDescent="0.35">
      <c r="B63" s="53" t="s">
        <v>397</v>
      </c>
      <c r="C63" s="5">
        <v>1</v>
      </c>
      <c r="D63" s="5">
        <v>992.6152687</v>
      </c>
      <c r="E63" s="5">
        <v>992.6152687</v>
      </c>
      <c r="F63" s="5">
        <v>1.48</v>
      </c>
      <c r="G63" s="42">
        <v>0.22439999999999999</v>
      </c>
    </row>
    <row r="64" spans="2:7" x14ac:dyDescent="0.35">
      <c r="B64" s="51"/>
    </row>
    <row r="65" spans="2:7" x14ac:dyDescent="0.35">
      <c r="B65" s="51"/>
    </row>
    <row r="69" spans="2:7" x14ac:dyDescent="0.35">
      <c r="B69" s="50" t="s">
        <v>306</v>
      </c>
    </row>
    <row r="70" spans="2:7" x14ac:dyDescent="0.35">
      <c r="B70" s="50"/>
    </row>
    <row r="71" spans="2:7" x14ac:dyDescent="0.35">
      <c r="B71" s="50" t="s">
        <v>333</v>
      </c>
    </row>
    <row r="72" spans="2:7" ht="15" thickBot="1" x14ac:dyDescent="0.4"/>
    <row r="73" spans="2:7" ht="27" thickBot="1" x14ac:dyDescent="0.4">
      <c r="B73" s="55" t="s">
        <v>315</v>
      </c>
      <c r="C73" s="43" t="s">
        <v>316</v>
      </c>
      <c r="D73" s="43" t="s">
        <v>317</v>
      </c>
      <c r="E73" s="43" t="s">
        <v>318</v>
      </c>
      <c r="F73" s="43" t="s">
        <v>319</v>
      </c>
      <c r="G73" s="44" t="s">
        <v>320</v>
      </c>
    </row>
    <row r="74" spans="2:7" ht="15" thickBot="1" x14ac:dyDescent="0.4">
      <c r="B74" s="56" t="s">
        <v>321</v>
      </c>
      <c r="C74" s="3">
        <v>1</v>
      </c>
      <c r="D74" s="3">
        <v>622.7482</v>
      </c>
      <c r="E74" s="3">
        <v>622.7482</v>
      </c>
      <c r="F74" s="3">
        <v>0.98</v>
      </c>
      <c r="G74" s="45">
        <v>0.3236</v>
      </c>
    </row>
    <row r="75" spans="2:7" ht="15" thickBot="1" x14ac:dyDescent="0.4">
      <c r="B75" s="56" t="s">
        <v>322</v>
      </c>
      <c r="C75" s="3">
        <v>488</v>
      </c>
      <c r="D75" s="3">
        <v>311237.65179999999</v>
      </c>
      <c r="E75" s="3">
        <v>637.78210000000001</v>
      </c>
      <c r="F75" s="3"/>
      <c r="G75" s="45"/>
    </row>
    <row r="76" spans="2:7" x14ac:dyDescent="0.35">
      <c r="B76" s="53" t="s">
        <v>323</v>
      </c>
      <c r="C76" s="5">
        <v>489</v>
      </c>
      <c r="D76" s="5">
        <v>311860.40000000002</v>
      </c>
      <c r="E76" s="5"/>
      <c r="F76" s="5"/>
      <c r="G76" s="42"/>
    </row>
    <row r="77" spans="2:7" ht="15" thickBot="1" x14ac:dyDescent="0.4"/>
    <row r="78" spans="2:7" ht="53" thickBot="1" x14ac:dyDescent="0.4">
      <c r="B78" s="55" t="s">
        <v>324</v>
      </c>
      <c r="C78" s="43" t="s">
        <v>325</v>
      </c>
      <c r="D78" s="43" t="s">
        <v>326</v>
      </c>
      <c r="E78" s="44" t="s">
        <v>334</v>
      </c>
    </row>
    <row r="79" spans="2:7" x14ac:dyDescent="0.35">
      <c r="B79" s="57">
        <v>1.9970000000000001E-3</v>
      </c>
      <c r="C79" s="5">
        <v>64.377430000000004</v>
      </c>
      <c r="D79" s="5">
        <v>25.254349999999999</v>
      </c>
      <c r="E79" s="42">
        <v>39.228569999999998</v>
      </c>
    </row>
    <row r="80" spans="2:7" ht="15" thickBot="1" x14ac:dyDescent="0.4"/>
    <row r="81" spans="2:7" ht="27" thickBot="1" x14ac:dyDescent="0.4">
      <c r="B81" s="55" t="s">
        <v>315</v>
      </c>
      <c r="C81" s="43" t="s">
        <v>316</v>
      </c>
      <c r="D81" s="43" t="s">
        <v>328</v>
      </c>
      <c r="E81" s="43" t="s">
        <v>318</v>
      </c>
      <c r="F81" s="43" t="s">
        <v>319</v>
      </c>
      <c r="G81" s="44" t="s">
        <v>320</v>
      </c>
    </row>
    <row r="82" spans="2:7" x14ac:dyDescent="0.35">
      <c r="B82" s="53" t="s">
        <v>397</v>
      </c>
      <c r="C82" s="5">
        <v>1</v>
      </c>
      <c r="D82" s="5">
        <v>622.74816669999996</v>
      </c>
      <c r="E82" s="5">
        <v>622.74816669999996</v>
      </c>
      <c r="F82" s="5">
        <v>0.98</v>
      </c>
      <c r="G82" s="42">
        <v>0.3236</v>
      </c>
    </row>
    <row r="83" spans="2:7" x14ac:dyDescent="0.35">
      <c r="B83" s="51"/>
    </row>
    <row r="84" spans="2:7" x14ac:dyDescent="0.35">
      <c r="B84" s="51"/>
    </row>
    <row r="88" spans="2:7" x14ac:dyDescent="0.35">
      <c r="B88" s="50" t="s">
        <v>306</v>
      </c>
    </row>
    <row r="89" spans="2:7" x14ac:dyDescent="0.35">
      <c r="B89" s="50"/>
    </row>
    <row r="90" spans="2:7" x14ac:dyDescent="0.35">
      <c r="B90" s="50" t="s">
        <v>335</v>
      </c>
    </row>
    <row r="91" spans="2:7" ht="15" thickBot="1" x14ac:dyDescent="0.4"/>
    <row r="92" spans="2:7" ht="27" thickBot="1" x14ac:dyDescent="0.4">
      <c r="B92" s="55" t="s">
        <v>315</v>
      </c>
      <c r="C92" s="43" t="s">
        <v>316</v>
      </c>
      <c r="D92" s="43" t="s">
        <v>317</v>
      </c>
      <c r="E92" s="43" t="s">
        <v>318</v>
      </c>
      <c r="F92" s="43" t="s">
        <v>319</v>
      </c>
      <c r="G92" s="44" t="s">
        <v>320</v>
      </c>
    </row>
    <row r="93" spans="2:7" ht="15" thickBot="1" x14ac:dyDescent="0.4">
      <c r="B93" s="56" t="s">
        <v>321</v>
      </c>
      <c r="C93" s="3">
        <v>1</v>
      </c>
      <c r="D93" s="3">
        <v>2813.3932</v>
      </c>
      <c r="E93" s="3">
        <v>2813.3932</v>
      </c>
      <c r="F93" s="3">
        <v>4</v>
      </c>
      <c r="G93" s="45">
        <v>4.5999999999999999E-2</v>
      </c>
    </row>
    <row r="94" spans="2:7" ht="15" thickBot="1" x14ac:dyDescent="0.4">
      <c r="B94" s="56" t="s">
        <v>322</v>
      </c>
      <c r="C94" s="3">
        <v>488</v>
      </c>
      <c r="D94" s="3">
        <v>342971.8333</v>
      </c>
      <c r="E94" s="3">
        <v>702.81110000000001</v>
      </c>
      <c r="F94" s="3"/>
      <c r="G94" s="45"/>
    </row>
    <row r="95" spans="2:7" x14ac:dyDescent="0.35">
      <c r="B95" s="53" t="s">
        <v>323</v>
      </c>
      <c r="C95" s="5">
        <v>489</v>
      </c>
      <c r="D95" s="5">
        <v>345785.22649999999</v>
      </c>
      <c r="E95" s="5"/>
      <c r="F95" s="5"/>
      <c r="G95" s="42"/>
    </row>
    <row r="96" spans="2:7" ht="15" thickBot="1" x14ac:dyDescent="0.4"/>
    <row r="97" spans="2:7" ht="53" thickBot="1" x14ac:dyDescent="0.4">
      <c r="B97" s="55" t="s">
        <v>324</v>
      </c>
      <c r="C97" s="43" t="s">
        <v>325</v>
      </c>
      <c r="D97" s="43" t="s">
        <v>326</v>
      </c>
      <c r="E97" s="44" t="s">
        <v>336</v>
      </c>
    </row>
    <row r="98" spans="2:7" x14ac:dyDescent="0.35">
      <c r="B98" s="57">
        <v>8.1359999999999991E-3</v>
      </c>
      <c r="C98" s="5">
        <v>58.797750000000001</v>
      </c>
      <c r="D98" s="5">
        <v>26.510590000000001</v>
      </c>
      <c r="E98" s="42">
        <v>45.087760000000003</v>
      </c>
    </row>
    <row r="99" spans="2:7" ht="15" thickBot="1" x14ac:dyDescent="0.4"/>
    <row r="100" spans="2:7" ht="27" thickBot="1" x14ac:dyDescent="0.4">
      <c r="B100" s="55" t="s">
        <v>315</v>
      </c>
      <c r="C100" s="43" t="s">
        <v>316</v>
      </c>
      <c r="D100" s="43" t="s">
        <v>328</v>
      </c>
      <c r="E100" s="43" t="s">
        <v>318</v>
      </c>
      <c r="F100" s="43" t="s">
        <v>319</v>
      </c>
      <c r="G100" s="44" t="s">
        <v>320</v>
      </c>
    </row>
    <row r="101" spans="2:7" x14ac:dyDescent="0.35">
      <c r="B101" s="53" t="s">
        <v>397</v>
      </c>
      <c r="C101" s="5">
        <v>1</v>
      </c>
      <c r="D101" s="5">
        <v>2813.3931969999999</v>
      </c>
      <c r="E101" s="5">
        <v>2813.3931969999999</v>
      </c>
      <c r="F101" s="5">
        <v>4</v>
      </c>
      <c r="G101" s="42">
        <v>4.5999999999999999E-2</v>
      </c>
    </row>
    <row r="102" spans="2:7" x14ac:dyDescent="0.35">
      <c r="B102" s="51"/>
    </row>
    <row r="103" spans="2:7" x14ac:dyDescent="0.35">
      <c r="B103" s="51"/>
    </row>
    <row r="107" spans="2:7" x14ac:dyDescent="0.35">
      <c r="B107" s="50" t="s">
        <v>306</v>
      </c>
    </row>
    <row r="108" spans="2:7" x14ac:dyDescent="0.35">
      <c r="B108" s="50"/>
    </row>
    <row r="109" spans="2:7" x14ac:dyDescent="0.35">
      <c r="B109" s="50" t="s">
        <v>337</v>
      </c>
    </row>
    <row r="110" spans="2:7" ht="15" thickBot="1" x14ac:dyDescent="0.4"/>
    <row r="111" spans="2:7" ht="27" thickBot="1" x14ac:dyDescent="0.4">
      <c r="B111" s="55" t="s">
        <v>315</v>
      </c>
      <c r="C111" s="43" t="s">
        <v>316</v>
      </c>
      <c r="D111" s="43" t="s">
        <v>317</v>
      </c>
      <c r="E111" s="43" t="s">
        <v>318</v>
      </c>
      <c r="F111" s="43" t="s">
        <v>319</v>
      </c>
      <c r="G111" s="44" t="s">
        <v>320</v>
      </c>
    </row>
    <row r="112" spans="2:7" ht="15" thickBot="1" x14ac:dyDescent="0.4">
      <c r="B112" s="56" t="s">
        <v>321</v>
      </c>
      <c r="C112" s="3">
        <v>1</v>
      </c>
      <c r="D112" s="3">
        <v>52.4268</v>
      </c>
      <c r="E112" s="3">
        <v>52.4268</v>
      </c>
      <c r="F112" s="3">
        <v>0.06</v>
      </c>
      <c r="G112" s="45">
        <v>0.80269999999999997</v>
      </c>
    </row>
    <row r="113" spans="2:7" ht="15" thickBot="1" x14ac:dyDescent="0.4">
      <c r="B113" s="56" t="s">
        <v>322</v>
      </c>
      <c r="C113" s="3">
        <v>488</v>
      </c>
      <c r="D113" s="3">
        <v>409171.37929999997</v>
      </c>
      <c r="E113" s="3">
        <v>838.46590000000003</v>
      </c>
      <c r="F113" s="3"/>
      <c r="G113" s="45"/>
    </row>
    <row r="114" spans="2:7" x14ac:dyDescent="0.35">
      <c r="B114" s="53" t="s">
        <v>323</v>
      </c>
      <c r="C114" s="5">
        <v>489</v>
      </c>
      <c r="D114" s="5">
        <v>409223.80609999999</v>
      </c>
      <c r="E114" s="5"/>
      <c r="F114" s="5"/>
      <c r="G114" s="42"/>
    </row>
    <row r="115" spans="2:7" ht="15" thickBot="1" x14ac:dyDescent="0.4"/>
    <row r="116" spans="2:7" ht="66" thickBot="1" x14ac:dyDescent="0.4">
      <c r="B116" s="55" t="s">
        <v>324</v>
      </c>
      <c r="C116" s="43" t="s">
        <v>325</v>
      </c>
      <c r="D116" s="43" t="s">
        <v>326</v>
      </c>
      <c r="E116" s="44" t="s">
        <v>338</v>
      </c>
    </row>
    <row r="117" spans="2:7" x14ac:dyDescent="0.35">
      <c r="B117" s="57">
        <v>1.2799999999999999E-4</v>
      </c>
      <c r="C117" s="5">
        <v>61.972380000000001</v>
      </c>
      <c r="D117" s="5">
        <v>28.95628</v>
      </c>
      <c r="E117" s="42">
        <v>46.724490000000003</v>
      </c>
    </row>
    <row r="118" spans="2:7" ht="15" thickBot="1" x14ac:dyDescent="0.4"/>
    <row r="119" spans="2:7" ht="27" thickBot="1" x14ac:dyDescent="0.4">
      <c r="B119" s="55" t="s">
        <v>315</v>
      </c>
      <c r="C119" s="43" t="s">
        <v>316</v>
      </c>
      <c r="D119" s="43" t="s">
        <v>328</v>
      </c>
      <c r="E119" s="43" t="s">
        <v>318</v>
      </c>
      <c r="F119" s="43" t="s">
        <v>319</v>
      </c>
      <c r="G119" s="44" t="s">
        <v>320</v>
      </c>
    </row>
    <row r="120" spans="2:7" x14ac:dyDescent="0.35">
      <c r="B120" s="53" t="s">
        <v>397</v>
      </c>
      <c r="C120" s="5">
        <v>1</v>
      </c>
      <c r="D120" s="5">
        <v>52.426789120000002</v>
      </c>
      <c r="E120" s="5">
        <v>52.426789120000002</v>
      </c>
      <c r="F120" s="5">
        <v>0.06</v>
      </c>
      <c r="G120" s="42">
        <v>0.80269999999999997</v>
      </c>
    </row>
    <row r="121" spans="2:7" x14ac:dyDescent="0.35">
      <c r="B121" s="51"/>
    </row>
    <row r="122" spans="2:7" x14ac:dyDescent="0.35">
      <c r="B122" s="51"/>
    </row>
    <row r="126" spans="2:7" x14ac:dyDescent="0.35">
      <c r="B126" s="50" t="s">
        <v>306</v>
      </c>
    </row>
    <row r="127" spans="2:7" x14ac:dyDescent="0.35">
      <c r="B127" s="50"/>
    </row>
    <row r="128" spans="2:7" x14ac:dyDescent="0.35">
      <c r="B128" s="50" t="s">
        <v>339</v>
      </c>
    </row>
    <row r="129" spans="2:7" ht="15" thickBot="1" x14ac:dyDescent="0.4"/>
    <row r="130" spans="2:7" ht="27" thickBot="1" x14ac:dyDescent="0.4">
      <c r="B130" s="55" t="s">
        <v>315</v>
      </c>
      <c r="C130" s="43" t="s">
        <v>316</v>
      </c>
      <c r="D130" s="43" t="s">
        <v>317</v>
      </c>
      <c r="E130" s="43" t="s">
        <v>318</v>
      </c>
      <c r="F130" s="43" t="s">
        <v>319</v>
      </c>
      <c r="G130" s="44" t="s">
        <v>320</v>
      </c>
    </row>
    <row r="131" spans="2:7" ht="15" thickBot="1" x14ac:dyDescent="0.4">
      <c r="B131" s="56" t="s">
        <v>321</v>
      </c>
      <c r="C131" s="3">
        <v>1</v>
      </c>
      <c r="D131" s="3">
        <v>3578.3307</v>
      </c>
      <c r="E131" s="3">
        <v>3578.3307</v>
      </c>
      <c r="F131" s="3">
        <v>5.17</v>
      </c>
      <c r="G131" s="45">
        <v>2.3400000000000001E-2</v>
      </c>
    </row>
    <row r="132" spans="2:7" ht="15" thickBot="1" x14ac:dyDescent="0.4">
      <c r="B132" s="56" t="s">
        <v>322</v>
      </c>
      <c r="C132" s="3">
        <v>488</v>
      </c>
      <c r="D132" s="3">
        <v>337659.99579999998</v>
      </c>
      <c r="E132" s="3">
        <v>691.92619999999999</v>
      </c>
      <c r="F132" s="3"/>
      <c r="G132" s="45"/>
    </row>
    <row r="133" spans="2:7" x14ac:dyDescent="0.35">
      <c r="B133" s="53" t="s">
        <v>323</v>
      </c>
      <c r="C133" s="5">
        <v>489</v>
      </c>
      <c r="D133" s="5">
        <v>341238.32650000002</v>
      </c>
      <c r="E133" s="5"/>
      <c r="F133" s="5"/>
      <c r="G133" s="42"/>
    </row>
    <row r="134" spans="2:7" ht="15" thickBot="1" x14ac:dyDescent="0.4"/>
    <row r="135" spans="2:7" ht="53" thickBot="1" x14ac:dyDescent="0.4">
      <c r="B135" s="55" t="s">
        <v>324</v>
      </c>
      <c r="C135" s="43" t="s">
        <v>325</v>
      </c>
      <c r="D135" s="43" t="s">
        <v>326</v>
      </c>
      <c r="E135" s="44" t="s">
        <v>340</v>
      </c>
    </row>
    <row r="136" spans="2:7" x14ac:dyDescent="0.35">
      <c r="B136" s="57">
        <v>1.0486000000000001E-2</v>
      </c>
      <c r="C136" s="5">
        <v>55.509050000000002</v>
      </c>
      <c r="D136" s="5">
        <v>26.304490000000001</v>
      </c>
      <c r="E136" s="42">
        <v>47.38776</v>
      </c>
    </row>
    <row r="137" spans="2:7" ht="15" thickBot="1" x14ac:dyDescent="0.4"/>
    <row r="138" spans="2:7" ht="27" thickBot="1" x14ac:dyDescent="0.4">
      <c r="B138" s="55" t="s">
        <v>315</v>
      </c>
      <c r="C138" s="43" t="s">
        <v>316</v>
      </c>
      <c r="D138" s="43" t="s">
        <v>328</v>
      </c>
      <c r="E138" s="43" t="s">
        <v>318</v>
      </c>
      <c r="F138" s="43" t="s">
        <v>319</v>
      </c>
      <c r="G138" s="44" t="s">
        <v>320</v>
      </c>
    </row>
    <row r="139" spans="2:7" x14ac:dyDescent="0.35">
      <c r="B139" s="53" t="s">
        <v>397</v>
      </c>
      <c r="C139" s="5">
        <v>1</v>
      </c>
      <c r="D139" s="5">
        <v>3578.3306969999999</v>
      </c>
      <c r="E139" s="5">
        <v>3578.3306969999999</v>
      </c>
      <c r="F139" s="5">
        <v>5.17</v>
      </c>
      <c r="G139" s="42">
        <v>2.3400000000000001E-2</v>
      </c>
    </row>
    <row r="140" spans="2:7" x14ac:dyDescent="0.35">
      <c r="B140" s="51"/>
    </row>
    <row r="141" spans="2:7" x14ac:dyDescent="0.35">
      <c r="B141" s="51"/>
    </row>
    <row r="145" spans="2:7" x14ac:dyDescent="0.35">
      <c r="B145" s="50" t="s">
        <v>306</v>
      </c>
    </row>
    <row r="146" spans="2:7" x14ac:dyDescent="0.35">
      <c r="B146" s="50"/>
    </row>
    <row r="147" spans="2:7" x14ac:dyDescent="0.35">
      <c r="B147" s="50" t="s">
        <v>341</v>
      </c>
    </row>
    <row r="148" spans="2:7" ht="15" thickBot="1" x14ac:dyDescent="0.4"/>
    <row r="149" spans="2:7" ht="27" thickBot="1" x14ac:dyDescent="0.4">
      <c r="B149" s="55" t="s">
        <v>315</v>
      </c>
      <c r="C149" s="43" t="s">
        <v>316</v>
      </c>
      <c r="D149" s="43" t="s">
        <v>317</v>
      </c>
      <c r="E149" s="43" t="s">
        <v>318</v>
      </c>
      <c r="F149" s="43" t="s">
        <v>319</v>
      </c>
      <c r="G149" s="44" t="s">
        <v>320</v>
      </c>
    </row>
    <row r="150" spans="2:7" ht="15" thickBot="1" x14ac:dyDescent="0.4">
      <c r="B150" s="56" t="s">
        <v>321</v>
      </c>
      <c r="C150" s="3">
        <v>1</v>
      </c>
      <c r="D150" s="3">
        <v>1930.3923</v>
      </c>
      <c r="E150" s="3">
        <v>1930.3923</v>
      </c>
      <c r="F150" s="3">
        <v>2.68</v>
      </c>
      <c r="G150" s="45">
        <v>0.10249999999999999</v>
      </c>
    </row>
    <row r="151" spans="2:7" ht="15" thickBot="1" x14ac:dyDescent="0.4">
      <c r="B151" s="56" t="s">
        <v>322</v>
      </c>
      <c r="C151" s="3">
        <v>488</v>
      </c>
      <c r="D151" s="3">
        <v>352002.64649999997</v>
      </c>
      <c r="E151" s="3">
        <v>721.31690000000003</v>
      </c>
      <c r="F151" s="3"/>
      <c r="G151" s="45"/>
    </row>
    <row r="152" spans="2:7" x14ac:dyDescent="0.35">
      <c r="B152" s="53" t="s">
        <v>323</v>
      </c>
      <c r="C152" s="5">
        <v>489</v>
      </c>
      <c r="D152" s="5">
        <v>353933.03879999998</v>
      </c>
      <c r="E152" s="5"/>
      <c r="F152" s="5"/>
      <c r="G152" s="42"/>
    </row>
    <row r="153" spans="2:7" ht="15" thickBot="1" x14ac:dyDescent="0.4"/>
    <row r="154" spans="2:7" ht="53" thickBot="1" x14ac:dyDescent="0.4">
      <c r="B154" s="55" t="s">
        <v>324</v>
      </c>
      <c r="C154" s="43" t="s">
        <v>325</v>
      </c>
      <c r="D154" s="43" t="s">
        <v>326</v>
      </c>
      <c r="E154" s="44" t="s">
        <v>342</v>
      </c>
    </row>
    <row r="155" spans="2:7" x14ac:dyDescent="0.35">
      <c r="B155" s="57">
        <v>5.4539999999999996E-3</v>
      </c>
      <c r="C155" s="5">
        <v>57.220309999999998</v>
      </c>
      <c r="D155" s="5">
        <v>26.857340000000001</v>
      </c>
      <c r="E155" s="42">
        <v>46.936729999999997</v>
      </c>
    </row>
    <row r="156" spans="2:7" ht="15" thickBot="1" x14ac:dyDescent="0.4"/>
    <row r="157" spans="2:7" ht="27" thickBot="1" x14ac:dyDescent="0.4">
      <c r="B157" s="55" t="s">
        <v>315</v>
      </c>
      <c r="C157" s="43" t="s">
        <v>316</v>
      </c>
      <c r="D157" s="43" t="s">
        <v>328</v>
      </c>
      <c r="E157" s="43" t="s">
        <v>318</v>
      </c>
      <c r="F157" s="43" t="s">
        <v>319</v>
      </c>
      <c r="G157" s="44" t="s">
        <v>320</v>
      </c>
    </row>
    <row r="158" spans="2:7" x14ac:dyDescent="0.35">
      <c r="B158" s="53" t="s">
        <v>397</v>
      </c>
      <c r="C158" s="5">
        <v>1</v>
      </c>
      <c r="D158" s="5">
        <v>1930.392276</v>
      </c>
      <c r="E158" s="5">
        <v>1930.392276</v>
      </c>
      <c r="F158" s="5">
        <v>2.68</v>
      </c>
      <c r="G158" s="42">
        <v>0.10249999999999999</v>
      </c>
    </row>
    <row r="159" spans="2:7" x14ac:dyDescent="0.35">
      <c r="B159" s="51"/>
    </row>
    <row r="160" spans="2:7" x14ac:dyDescent="0.35">
      <c r="B160" s="51"/>
    </row>
    <row r="164" spans="2:7" x14ac:dyDescent="0.35">
      <c r="B164" s="50" t="s">
        <v>306</v>
      </c>
    </row>
    <row r="165" spans="2:7" x14ac:dyDescent="0.35">
      <c r="B165" s="50"/>
    </row>
    <row r="166" spans="2:7" x14ac:dyDescent="0.35">
      <c r="B166" s="50" t="s">
        <v>343</v>
      </c>
    </row>
    <row r="167" spans="2:7" ht="15" thickBot="1" x14ac:dyDescent="0.4"/>
    <row r="168" spans="2:7" ht="27" thickBot="1" x14ac:dyDescent="0.4">
      <c r="B168" s="55" t="s">
        <v>315</v>
      </c>
      <c r="C168" s="43" t="s">
        <v>316</v>
      </c>
      <c r="D168" s="43" t="s">
        <v>317</v>
      </c>
      <c r="E168" s="43" t="s">
        <v>318</v>
      </c>
      <c r="F168" s="43" t="s">
        <v>319</v>
      </c>
      <c r="G168" s="44" t="s">
        <v>320</v>
      </c>
    </row>
    <row r="169" spans="2:7" ht="15" thickBot="1" x14ac:dyDescent="0.4">
      <c r="B169" s="56" t="s">
        <v>321</v>
      </c>
      <c r="C169" s="3">
        <v>1</v>
      </c>
      <c r="D169" s="3">
        <v>407.08710000000002</v>
      </c>
      <c r="E169" s="3">
        <v>407.08710000000002</v>
      </c>
      <c r="F169" s="3">
        <v>0.56999999999999995</v>
      </c>
      <c r="G169" s="45">
        <v>0.44869999999999999</v>
      </c>
    </row>
    <row r="170" spans="2:7" ht="15" thickBot="1" x14ac:dyDescent="0.4">
      <c r="B170" s="56" t="s">
        <v>322</v>
      </c>
      <c r="C170" s="3">
        <v>488</v>
      </c>
      <c r="D170" s="3">
        <v>345556.43329999998</v>
      </c>
      <c r="E170" s="3">
        <v>708.10739999999998</v>
      </c>
      <c r="F170" s="3"/>
      <c r="G170" s="45"/>
    </row>
    <row r="171" spans="2:7" x14ac:dyDescent="0.35">
      <c r="B171" s="53" t="s">
        <v>323</v>
      </c>
      <c r="C171" s="5">
        <v>489</v>
      </c>
      <c r="D171" s="5">
        <v>345963.52039999998</v>
      </c>
      <c r="E171" s="5"/>
      <c r="F171" s="5"/>
      <c r="G171" s="42"/>
    </row>
    <row r="172" spans="2:7" ht="15" thickBot="1" x14ac:dyDescent="0.4"/>
    <row r="173" spans="2:7" ht="66" thickBot="1" x14ac:dyDescent="0.4">
      <c r="B173" s="55" t="s">
        <v>324</v>
      </c>
      <c r="C173" s="43" t="s">
        <v>325</v>
      </c>
      <c r="D173" s="43" t="s">
        <v>326</v>
      </c>
      <c r="E173" s="44" t="s">
        <v>344</v>
      </c>
    </row>
    <row r="174" spans="2:7" x14ac:dyDescent="0.35">
      <c r="B174" s="57">
        <v>1.1770000000000001E-3</v>
      </c>
      <c r="C174" s="5">
        <v>54.476880000000001</v>
      </c>
      <c r="D174" s="5">
        <v>26.610289999999999</v>
      </c>
      <c r="E174" s="42">
        <v>48.846939999999996</v>
      </c>
    </row>
    <row r="175" spans="2:7" ht="15" thickBot="1" x14ac:dyDescent="0.4"/>
    <row r="176" spans="2:7" ht="27" thickBot="1" x14ac:dyDescent="0.4">
      <c r="B176" s="55" t="s">
        <v>315</v>
      </c>
      <c r="C176" s="43" t="s">
        <v>316</v>
      </c>
      <c r="D176" s="43" t="s">
        <v>328</v>
      </c>
      <c r="E176" s="43" t="s">
        <v>318</v>
      </c>
      <c r="F176" s="43" t="s">
        <v>319</v>
      </c>
      <c r="G176" s="44" t="s">
        <v>320</v>
      </c>
    </row>
    <row r="177" spans="2:7" x14ac:dyDescent="0.35">
      <c r="B177" s="53" t="s">
        <v>397</v>
      </c>
      <c r="C177" s="5">
        <v>1</v>
      </c>
      <c r="D177" s="5">
        <v>407.08707479999998</v>
      </c>
      <c r="E177" s="5">
        <v>407.08707479999998</v>
      </c>
      <c r="F177" s="5">
        <v>0.56999999999999995</v>
      </c>
      <c r="G177" s="42">
        <v>0.44869999999999999</v>
      </c>
    </row>
    <row r="178" spans="2:7" x14ac:dyDescent="0.35">
      <c r="B178" s="51"/>
    </row>
    <row r="179" spans="2:7" x14ac:dyDescent="0.35">
      <c r="B179" s="51"/>
    </row>
    <row r="183" spans="2:7" x14ac:dyDescent="0.35">
      <c r="B183" s="50" t="s">
        <v>306</v>
      </c>
    </row>
    <row r="184" spans="2:7" x14ac:dyDescent="0.35">
      <c r="B184" s="50"/>
    </row>
    <row r="185" spans="2:7" x14ac:dyDescent="0.35">
      <c r="B185" s="50" t="s">
        <v>345</v>
      </c>
    </row>
    <row r="186" spans="2:7" ht="15" thickBot="1" x14ac:dyDescent="0.4"/>
    <row r="187" spans="2:7" ht="27" thickBot="1" x14ac:dyDescent="0.4">
      <c r="B187" s="55" t="s">
        <v>315</v>
      </c>
      <c r="C187" s="43" t="s">
        <v>316</v>
      </c>
      <c r="D187" s="43" t="s">
        <v>317</v>
      </c>
      <c r="E187" s="43" t="s">
        <v>318</v>
      </c>
      <c r="F187" s="43" t="s">
        <v>319</v>
      </c>
      <c r="G187" s="44" t="s">
        <v>320</v>
      </c>
    </row>
    <row r="188" spans="2:7" ht="15" thickBot="1" x14ac:dyDescent="0.4">
      <c r="B188" s="56" t="s">
        <v>321</v>
      </c>
      <c r="C188" s="3">
        <v>1</v>
      </c>
      <c r="D188" s="3">
        <v>6.1074999999999999</v>
      </c>
      <c r="E188" s="3">
        <v>6.1074999999999999</v>
      </c>
      <c r="F188" s="3">
        <v>0.01</v>
      </c>
      <c r="G188" s="45">
        <v>0.91959999999999997</v>
      </c>
    </row>
    <row r="189" spans="2:7" ht="15" thickBot="1" x14ac:dyDescent="0.4">
      <c r="B189" s="56" t="s">
        <v>322</v>
      </c>
      <c r="C189" s="3">
        <v>488</v>
      </c>
      <c r="D189" s="3">
        <v>292404.03330000001</v>
      </c>
      <c r="E189" s="3">
        <v>599.18859999999995</v>
      </c>
      <c r="F189" s="3"/>
      <c r="G189" s="45"/>
    </row>
    <row r="190" spans="2:7" x14ac:dyDescent="0.35">
      <c r="B190" s="53" t="s">
        <v>323</v>
      </c>
      <c r="C190" s="5">
        <v>489</v>
      </c>
      <c r="D190" s="5">
        <v>292410.14079999999</v>
      </c>
      <c r="E190" s="5"/>
      <c r="F190" s="5"/>
      <c r="G190" s="42"/>
    </row>
    <row r="191" spans="2:7" ht="15" thickBot="1" x14ac:dyDescent="0.4"/>
    <row r="192" spans="2:7" ht="40" thickBot="1" x14ac:dyDescent="0.4">
      <c r="B192" s="55" t="s">
        <v>324</v>
      </c>
      <c r="C192" s="43" t="s">
        <v>325</v>
      </c>
      <c r="D192" s="43" t="s">
        <v>326</v>
      </c>
      <c r="E192" s="44" t="s">
        <v>346</v>
      </c>
    </row>
    <row r="193" spans="2:7" x14ac:dyDescent="0.35">
      <c r="B193" s="57">
        <v>2.0999999999999999E-5</v>
      </c>
      <c r="C193" s="5">
        <v>46.741680000000002</v>
      </c>
      <c r="D193" s="5">
        <v>24.47833</v>
      </c>
      <c r="E193" s="42">
        <v>52.369390000000003</v>
      </c>
    </row>
    <row r="194" spans="2:7" ht="15" thickBot="1" x14ac:dyDescent="0.4"/>
    <row r="195" spans="2:7" ht="27" thickBot="1" x14ac:dyDescent="0.4">
      <c r="B195" s="55" t="s">
        <v>315</v>
      </c>
      <c r="C195" s="43" t="s">
        <v>316</v>
      </c>
      <c r="D195" s="43" t="s">
        <v>328</v>
      </c>
      <c r="E195" s="43" t="s">
        <v>318</v>
      </c>
      <c r="F195" s="43" t="s">
        <v>319</v>
      </c>
      <c r="G195" s="44" t="s">
        <v>320</v>
      </c>
    </row>
    <row r="196" spans="2:7" x14ac:dyDescent="0.35">
      <c r="B196" s="53" t="s">
        <v>397</v>
      </c>
      <c r="C196" s="5">
        <v>1</v>
      </c>
      <c r="D196" s="5">
        <v>6.1074829900000003</v>
      </c>
      <c r="E196" s="5">
        <v>6.1074829900000003</v>
      </c>
      <c r="F196" s="5">
        <v>0.01</v>
      </c>
      <c r="G196" s="42">
        <v>0.91959999999999997</v>
      </c>
    </row>
    <row r="197" spans="2:7" x14ac:dyDescent="0.35">
      <c r="B197" s="51"/>
    </row>
    <row r="198" spans="2:7" x14ac:dyDescent="0.35">
      <c r="B198" s="51"/>
    </row>
    <row r="202" spans="2:7" x14ac:dyDescent="0.35">
      <c r="B202" s="50" t="s">
        <v>306</v>
      </c>
    </row>
    <row r="203" spans="2:7" x14ac:dyDescent="0.35">
      <c r="B203" s="50"/>
    </row>
    <row r="204" spans="2:7" x14ac:dyDescent="0.35">
      <c r="B204" s="50" t="s">
        <v>347</v>
      </c>
    </row>
    <row r="205" spans="2:7" ht="15" thickBot="1" x14ac:dyDescent="0.4"/>
    <row r="206" spans="2:7" ht="27" thickBot="1" x14ac:dyDescent="0.4">
      <c r="B206" s="55" t="s">
        <v>315</v>
      </c>
      <c r="C206" s="43" t="s">
        <v>316</v>
      </c>
      <c r="D206" s="43" t="s">
        <v>317</v>
      </c>
      <c r="E206" s="43" t="s">
        <v>318</v>
      </c>
      <c r="F206" s="43" t="s">
        <v>319</v>
      </c>
      <c r="G206" s="44" t="s">
        <v>320</v>
      </c>
    </row>
    <row r="207" spans="2:7" ht="15" thickBot="1" x14ac:dyDescent="0.4">
      <c r="B207" s="56" t="s">
        <v>321</v>
      </c>
      <c r="C207" s="3">
        <v>1</v>
      </c>
      <c r="D207" s="3">
        <v>45.737699999999997</v>
      </c>
      <c r="E207" s="3">
        <v>45.737699999999997</v>
      </c>
      <c r="F207" s="3">
        <v>7.0000000000000007E-2</v>
      </c>
      <c r="G207" s="45">
        <v>0.79169999999999996</v>
      </c>
    </row>
    <row r="208" spans="2:7" ht="15" thickBot="1" x14ac:dyDescent="0.4">
      <c r="B208" s="56" t="s">
        <v>322</v>
      </c>
      <c r="C208" s="3">
        <v>488</v>
      </c>
      <c r="D208" s="3">
        <v>319680.23979999998</v>
      </c>
      <c r="E208" s="3">
        <v>655.08249999999998</v>
      </c>
      <c r="F208" s="3"/>
      <c r="G208" s="45"/>
    </row>
    <row r="209" spans="2:7" x14ac:dyDescent="0.35">
      <c r="B209" s="53" t="s">
        <v>323</v>
      </c>
      <c r="C209" s="5">
        <v>489</v>
      </c>
      <c r="D209" s="5">
        <v>319725.97759999998</v>
      </c>
      <c r="E209" s="5"/>
      <c r="F209" s="5"/>
      <c r="G209" s="42"/>
    </row>
    <row r="210" spans="2:7" ht="15" thickBot="1" x14ac:dyDescent="0.4"/>
    <row r="211" spans="2:7" ht="53" thickBot="1" x14ac:dyDescent="0.4">
      <c r="B211" s="55" t="s">
        <v>324</v>
      </c>
      <c r="C211" s="43" t="s">
        <v>325</v>
      </c>
      <c r="D211" s="43" t="s">
        <v>326</v>
      </c>
      <c r="E211" s="44" t="s">
        <v>348</v>
      </c>
    </row>
    <row r="212" spans="2:7" x14ac:dyDescent="0.35">
      <c r="B212" s="57">
        <v>1.4300000000000001E-4</v>
      </c>
      <c r="C212" s="5">
        <v>57.558140000000002</v>
      </c>
      <c r="D212" s="5">
        <v>25.594580000000001</v>
      </c>
      <c r="E212" s="42">
        <v>44.467350000000003</v>
      </c>
    </row>
    <row r="213" spans="2:7" ht="15" thickBot="1" x14ac:dyDescent="0.4"/>
    <row r="214" spans="2:7" ht="27" thickBot="1" x14ac:dyDescent="0.4">
      <c r="B214" s="55" t="s">
        <v>315</v>
      </c>
      <c r="C214" s="43" t="s">
        <v>316</v>
      </c>
      <c r="D214" s="43" t="s">
        <v>328</v>
      </c>
      <c r="E214" s="43" t="s">
        <v>318</v>
      </c>
      <c r="F214" s="43" t="s">
        <v>319</v>
      </c>
      <c r="G214" s="44" t="s">
        <v>320</v>
      </c>
    </row>
    <row r="215" spans="2:7" x14ac:dyDescent="0.35">
      <c r="B215" s="53" t="s">
        <v>397</v>
      </c>
      <c r="C215" s="5">
        <v>1</v>
      </c>
      <c r="D215" s="5">
        <v>45.737717689999997</v>
      </c>
      <c r="E215" s="5">
        <v>45.737717689999997</v>
      </c>
      <c r="F215" s="5">
        <v>7.0000000000000007E-2</v>
      </c>
      <c r="G215" s="42">
        <v>0.79169999999999996</v>
      </c>
    </row>
    <row r="216" spans="2:7" x14ac:dyDescent="0.35">
      <c r="B216" s="51"/>
    </row>
    <row r="217" spans="2:7" x14ac:dyDescent="0.35">
      <c r="B217" s="51"/>
    </row>
    <row r="221" spans="2:7" x14ac:dyDescent="0.35">
      <c r="B221" s="50" t="s">
        <v>306</v>
      </c>
    </row>
    <row r="222" spans="2:7" x14ac:dyDescent="0.35">
      <c r="B222" s="50"/>
    </row>
    <row r="223" spans="2:7" x14ac:dyDescent="0.35">
      <c r="B223" s="50" t="s">
        <v>349</v>
      </c>
    </row>
    <row r="224" spans="2:7" ht="15" thickBot="1" x14ac:dyDescent="0.4"/>
    <row r="225" spans="2:7" ht="27" thickBot="1" x14ac:dyDescent="0.4">
      <c r="B225" s="55" t="s">
        <v>315</v>
      </c>
      <c r="C225" s="43" t="s">
        <v>316</v>
      </c>
      <c r="D225" s="43" t="s">
        <v>317</v>
      </c>
      <c r="E225" s="43" t="s">
        <v>318</v>
      </c>
      <c r="F225" s="43" t="s">
        <v>319</v>
      </c>
      <c r="G225" s="44" t="s">
        <v>320</v>
      </c>
    </row>
    <row r="226" spans="2:7" ht="15" thickBot="1" x14ac:dyDescent="0.4">
      <c r="B226" s="56" t="s">
        <v>321</v>
      </c>
      <c r="C226" s="3">
        <v>1</v>
      </c>
      <c r="D226" s="3">
        <v>1879.3607</v>
      </c>
      <c r="E226" s="3">
        <v>1879.3607</v>
      </c>
      <c r="F226" s="3">
        <v>2.2400000000000002</v>
      </c>
      <c r="G226" s="45">
        <v>0.13539999999999999</v>
      </c>
    </row>
    <row r="227" spans="2:7" ht="15" thickBot="1" x14ac:dyDescent="0.4">
      <c r="B227" s="56" t="s">
        <v>322</v>
      </c>
      <c r="C227" s="3">
        <v>488</v>
      </c>
      <c r="D227" s="3">
        <v>410000.63929999998</v>
      </c>
      <c r="E227" s="3">
        <v>840.16520000000003</v>
      </c>
      <c r="F227" s="3"/>
      <c r="G227" s="45"/>
    </row>
    <row r="228" spans="2:7" x14ac:dyDescent="0.35">
      <c r="B228" s="53" t="s">
        <v>323</v>
      </c>
      <c r="C228" s="5">
        <v>489</v>
      </c>
      <c r="D228" s="5">
        <v>411880</v>
      </c>
      <c r="E228" s="5"/>
      <c r="F228" s="5"/>
      <c r="G228" s="42"/>
    </row>
    <row r="229" spans="2:7" ht="15" thickBot="1" x14ac:dyDescent="0.4"/>
    <row r="230" spans="2:7" ht="66" thickBot="1" x14ac:dyDescent="0.4">
      <c r="B230" s="55" t="s">
        <v>324</v>
      </c>
      <c r="C230" s="43" t="s">
        <v>325</v>
      </c>
      <c r="D230" s="43" t="s">
        <v>326</v>
      </c>
      <c r="E230" s="44" t="s">
        <v>350</v>
      </c>
    </row>
    <row r="231" spans="2:7" x14ac:dyDescent="0.35">
      <c r="B231" s="57">
        <v>4.5630000000000002E-3</v>
      </c>
      <c r="C231" s="5">
        <v>74.050809999999998</v>
      </c>
      <c r="D231" s="5">
        <v>28.985600000000002</v>
      </c>
      <c r="E231" s="42">
        <v>39.142859999999999</v>
      </c>
    </row>
    <row r="232" spans="2:7" ht="15" thickBot="1" x14ac:dyDescent="0.4"/>
    <row r="233" spans="2:7" ht="27" thickBot="1" x14ac:dyDescent="0.4">
      <c r="B233" s="55" t="s">
        <v>315</v>
      </c>
      <c r="C233" s="43" t="s">
        <v>316</v>
      </c>
      <c r="D233" s="43" t="s">
        <v>328</v>
      </c>
      <c r="E233" s="43" t="s">
        <v>318</v>
      </c>
      <c r="F233" s="43" t="s">
        <v>319</v>
      </c>
      <c r="G233" s="44" t="s">
        <v>320</v>
      </c>
    </row>
    <row r="234" spans="2:7" x14ac:dyDescent="0.35">
      <c r="B234" s="53" t="s">
        <v>397</v>
      </c>
      <c r="C234" s="5">
        <v>1</v>
      </c>
      <c r="D234" s="5">
        <v>1879.3606669999999</v>
      </c>
      <c r="E234" s="5">
        <v>1879.3606669999999</v>
      </c>
      <c r="F234" s="5">
        <v>2.2400000000000002</v>
      </c>
      <c r="G234" s="42">
        <v>0.13539999999999999</v>
      </c>
    </row>
    <row r="235" spans="2:7" x14ac:dyDescent="0.35">
      <c r="B235" s="51"/>
    </row>
    <row r="236" spans="2:7" x14ac:dyDescent="0.35">
      <c r="B236" s="51"/>
    </row>
    <row r="240" spans="2:7" x14ac:dyDescent="0.35">
      <c r="B240" s="50" t="s">
        <v>306</v>
      </c>
    </row>
    <row r="241" spans="2:7" x14ac:dyDescent="0.35">
      <c r="B241" s="50"/>
    </row>
    <row r="242" spans="2:7" x14ac:dyDescent="0.35">
      <c r="B242" s="50" t="s">
        <v>351</v>
      </c>
    </row>
    <row r="243" spans="2:7" ht="15" thickBot="1" x14ac:dyDescent="0.4"/>
    <row r="244" spans="2:7" ht="27" thickBot="1" x14ac:dyDescent="0.4">
      <c r="B244" s="55" t="s">
        <v>315</v>
      </c>
      <c r="C244" s="43" t="s">
        <v>316</v>
      </c>
      <c r="D244" s="43" t="s">
        <v>317</v>
      </c>
      <c r="E244" s="43" t="s">
        <v>318</v>
      </c>
      <c r="F244" s="43" t="s">
        <v>319</v>
      </c>
      <c r="G244" s="44" t="s">
        <v>320</v>
      </c>
    </row>
    <row r="245" spans="2:7" ht="15" thickBot="1" x14ac:dyDescent="0.4">
      <c r="B245" s="56" t="s">
        <v>321</v>
      </c>
      <c r="C245" s="3">
        <v>1</v>
      </c>
      <c r="D245" s="3">
        <v>358.75139999999999</v>
      </c>
      <c r="E245" s="3">
        <v>358.75139999999999</v>
      </c>
      <c r="F245" s="3">
        <v>0.78</v>
      </c>
      <c r="G245" s="45">
        <v>0.37619999999999998</v>
      </c>
    </row>
    <row r="246" spans="2:7" ht="15" thickBot="1" x14ac:dyDescent="0.4">
      <c r="B246" s="56" t="s">
        <v>322</v>
      </c>
      <c r="C246" s="3">
        <v>488</v>
      </c>
      <c r="D246" s="3">
        <v>223153.5833</v>
      </c>
      <c r="E246" s="3">
        <v>457.28190000000001</v>
      </c>
      <c r="F246" s="3"/>
      <c r="G246" s="45"/>
    </row>
    <row r="247" spans="2:7" x14ac:dyDescent="0.35">
      <c r="B247" s="53" t="s">
        <v>323</v>
      </c>
      <c r="C247" s="5">
        <v>489</v>
      </c>
      <c r="D247" s="5">
        <v>223512.33470000001</v>
      </c>
      <c r="E247" s="5"/>
      <c r="F247" s="5"/>
      <c r="G247" s="42"/>
    </row>
    <row r="248" spans="2:7" ht="15" thickBot="1" x14ac:dyDescent="0.4"/>
    <row r="249" spans="2:7" ht="53" thickBot="1" x14ac:dyDescent="0.4">
      <c r="B249" s="55" t="s">
        <v>324</v>
      </c>
      <c r="C249" s="43" t="s">
        <v>325</v>
      </c>
      <c r="D249" s="43" t="s">
        <v>326</v>
      </c>
      <c r="E249" s="44" t="s">
        <v>352</v>
      </c>
    </row>
    <row r="250" spans="2:7" x14ac:dyDescent="0.35">
      <c r="B250" s="57">
        <v>1.6050000000000001E-3</v>
      </c>
      <c r="C250" s="5">
        <v>56.996490000000001</v>
      </c>
      <c r="D250" s="5">
        <v>21.384150000000002</v>
      </c>
      <c r="E250" s="42">
        <v>37.518369999999997</v>
      </c>
    </row>
    <row r="251" spans="2:7" ht="15" thickBot="1" x14ac:dyDescent="0.4"/>
    <row r="252" spans="2:7" ht="27" thickBot="1" x14ac:dyDescent="0.4">
      <c r="B252" s="55" t="s">
        <v>315</v>
      </c>
      <c r="C252" s="43" t="s">
        <v>316</v>
      </c>
      <c r="D252" s="43" t="s">
        <v>328</v>
      </c>
      <c r="E252" s="43" t="s">
        <v>318</v>
      </c>
      <c r="F252" s="43" t="s">
        <v>319</v>
      </c>
      <c r="G252" s="44" t="s">
        <v>320</v>
      </c>
    </row>
    <row r="253" spans="2:7" x14ac:dyDescent="0.35">
      <c r="B253" s="53" t="s">
        <v>397</v>
      </c>
      <c r="C253" s="5">
        <v>1</v>
      </c>
      <c r="D253" s="5">
        <v>358.75136049999998</v>
      </c>
      <c r="E253" s="5">
        <v>358.75136049999998</v>
      </c>
      <c r="F253" s="5">
        <v>0.78</v>
      </c>
      <c r="G253" s="42">
        <v>0.37619999999999998</v>
      </c>
    </row>
    <row r="254" spans="2:7" x14ac:dyDescent="0.35">
      <c r="B254" s="51"/>
    </row>
    <row r="255" spans="2:7" x14ac:dyDescent="0.35">
      <c r="B255" s="51"/>
    </row>
    <row r="259" spans="2:7" x14ac:dyDescent="0.35">
      <c r="B259" s="50" t="s">
        <v>306</v>
      </c>
    </row>
    <row r="260" spans="2:7" x14ac:dyDescent="0.35">
      <c r="B260" s="50"/>
    </row>
    <row r="261" spans="2:7" x14ac:dyDescent="0.35">
      <c r="B261" s="50" t="s">
        <v>353</v>
      </c>
    </row>
    <row r="262" spans="2:7" ht="15" thickBot="1" x14ac:dyDescent="0.4"/>
    <row r="263" spans="2:7" ht="27" thickBot="1" x14ac:dyDescent="0.4">
      <c r="B263" s="55" t="s">
        <v>315</v>
      </c>
      <c r="C263" s="43" t="s">
        <v>316</v>
      </c>
      <c r="D263" s="43" t="s">
        <v>317</v>
      </c>
      <c r="E263" s="43" t="s">
        <v>318</v>
      </c>
      <c r="F263" s="43" t="s">
        <v>319</v>
      </c>
      <c r="G263" s="44" t="s">
        <v>320</v>
      </c>
    </row>
    <row r="264" spans="2:7" ht="15" thickBot="1" x14ac:dyDescent="0.4">
      <c r="B264" s="56" t="s">
        <v>321</v>
      </c>
      <c r="C264" s="3">
        <v>1</v>
      </c>
      <c r="D264" s="3">
        <v>2319.5272</v>
      </c>
      <c r="E264" s="3">
        <v>2319.5272</v>
      </c>
      <c r="F264" s="3">
        <v>3.25</v>
      </c>
      <c r="G264" s="45">
        <v>7.2099999999999997E-2</v>
      </c>
    </row>
    <row r="265" spans="2:7" ht="15" thickBot="1" x14ac:dyDescent="0.4">
      <c r="B265" s="56" t="s">
        <v>322</v>
      </c>
      <c r="C265" s="3">
        <v>488</v>
      </c>
      <c r="D265" s="3">
        <v>348432.89929999999</v>
      </c>
      <c r="E265" s="3">
        <v>714.0018</v>
      </c>
      <c r="F265" s="3"/>
      <c r="G265" s="45"/>
    </row>
    <row r="266" spans="2:7" x14ac:dyDescent="0.35">
      <c r="B266" s="53" t="s">
        <v>323</v>
      </c>
      <c r="C266" s="5">
        <v>489</v>
      </c>
      <c r="D266" s="5">
        <v>350752.4265</v>
      </c>
      <c r="E266" s="5"/>
      <c r="F266" s="5"/>
      <c r="G266" s="42"/>
    </row>
    <row r="267" spans="2:7" ht="15" thickBot="1" x14ac:dyDescent="0.4"/>
    <row r="268" spans="2:7" ht="66" thickBot="1" x14ac:dyDescent="0.4">
      <c r="B268" s="55" t="s">
        <v>324</v>
      </c>
      <c r="C268" s="43" t="s">
        <v>325</v>
      </c>
      <c r="D268" s="43" t="s">
        <v>326</v>
      </c>
      <c r="E268" s="44" t="s">
        <v>354</v>
      </c>
    </row>
    <row r="269" spans="2:7" x14ac:dyDescent="0.35">
      <c r="B269" s="57">
        <v>6.613E-3</v>
      </c>
      <c r="C269" s="5">
        <v>57.727609999999999</v>
      </c>
      <c r="D269" s="5">
        <v>26.72081</v>
      </c>
      <c r="E269" s="42">
        <v>46.287759999999999</v>
      </c>
    </row>
    <row r="270" spans="2:7" ht="15" thickBot="1" x14ac:dyDescent="0.4"/>
    <row r="271" spans="2:7" ht="27" thickBot="1" x14ac:dyDescent="0.4">
      <c r="B271" s="55" t="s">
        <v>315</v>
      </c>
      <c r="C271" s="43" t="s">
        <v>316</v>
      </c>
      <c r="D271" s="43" t="s">
        <v>328</v>
      </c>
      <c r="E271" s="43" t="s">
        <v>318</v>
      </c>
      <c r="F271" s="43" t="s">
        <v>319</v>
      </c>
      <c r="G271" s="44" t="s">
        <v>320</v>
      </c>
    </row>
    <row r="272" spans="2:7" x14ac:dyDescent="0.35">
      <c r="B272" s="53" t="s">
        <v>397</v>
      </c>
      <c r="C272" s="5">
        <v>1</v>
      </c>
      <c r="D272" s="5">
        <v>2319.5271969999999</v>
      </c>
      <c r="E272" s="5">
        <v>2319.5271969999999</v>
      </c>
      <c r="F272" s="5">
        <v>3.25</v>
      </c>
      <c r="G272" s="42">
        <v>7.2099999999999997E-2</v>
      </c>
    </row>
    <row r="273" spans="2:7" x14ac:dyDescent="0.35">
      <c r="B273" s="51"/>
    </row>
    <row r="274" spans="2:7" x14ac:dyDescent="0.35">
      <c r="B274" s="51"/>
    </row>
    <row r="278" spans="2:7" x14ac:dyDescent="0.35">
      <c r="B278" s="50" t="s">
        <v>306</v>
      </c>
    </row>
    <row r="279" spans="2:7" x14ac:dyDescent="0.35">
      <c r="B279" s="50"/>
    </row>
    <row r="280" spans="2:7" x14ac:dyDescent="0.35">
      <c r="B280" s="50" t="s">
        <v>355</v>
      </c>
    </row>
    <row r="281" spans="2:7" ht="15" thickBot="1" x14ac:dyDescent="0.4"/>
    <row r="282" spans="2:7" ht="27" thickBot="1" x14ac:dyDescent="0.4">
      <c r="B282" s="55" t="s">
        <v>315</v>
      </c>
      <c r="C282" s="43" t="s">
        <v>316</v>
      </c>
      <c r="D282" s="43" t="s">
        <v>317</v>
      </c>
      <c r="E282" s="43" t="s">
        <v>318</v>
      </c>
      <c r="F282" s="43" t="s">
        <v>319</v>
      </c>
      <c r="G282" s="44" t="s">
        <v>320</v>
      </c>
    </row>
    <row r="283" spans="2:7" ht="15" thickBot="1" x14ac:dyDescent="0.4">
      <c r="B283" s="56" t="s">
        <v>321</v>
      </c>
      <c r="C283" s="3">
        <v>1</v>
      </c>
      <c r="D283" s="3">
        <v>3555.6401999999998</v>
      </c>
      <c r="E283" s="3">
        <v>3555.6401999999998</v>
      </c>
      <c r="F283" s="3">
        <v>4.68</v>
      </c>
      <c r="G283" s="45">
        <v>3.09E-2</v>
      </c>
    </row>
    <row r="284" spans="2:7" ht="15" thickBot="1" x14ac:dyDescent="0.4">
      <c r="B284" s="56" t="s">
        <v>322</v>
      </c>
      <c r="C284" s="3">
        <v>488</v>
      </c>
      <c r="D284" s="3">
        <v>370496.6373</v>
      </c>
      <c r="E284" s="3">
        <v>759.21439999999996</v>
      </c>
      <c r="F284" s="3"/>
      <c r="G284" s="45"/>
    </row>
    <row r="285" spans="2:7" x14ac:dyDescent="0.35">
      <c r="B285" s="53" t="s">
        <v>323</v>
      </c>
      <c r="C285" s="5">
        <v>489</v>
      </c>
      <c r="D285" s="5">
        <v>374052.27759999997</v>
      </c>
      <c r="E285" s="5"/>
      <c r="F285" s="5"/>
      <c r="G285" s="42"/>
    </row>
    <row r="286" spans="2:7" ht="15" thickBot="1" x14ac:dyDescent="0.4"/>
    <row r="287" spans="2:7" ht="40" thickBot="1" x14ac:dyDescent="0.4">
      <c r="B287" s="55" t="s">
        <v>324</v>
      </c>
      <c r="C287" s="43" t="s">
        <v>325</v>
      </c>
      <c r="D287" s="43" t="s">
        <v>326</v>
      </c>
      <c r="E287" s="44" t="s">
        <v>356</v>
      </c>
    </row>
    <row r="288" spans="2:7" x14ac:dyDescent="0.35">
      <c r="B288" s="57">
        <v>9.5060000000000006E-3</v>
      </c>
      <c r="C288" s="5">
        <v>61.003909999999998</v>
      </c>
      <c r="D288" s="5">
        <v>27.553850000000001</v>
      </c>
      <c r="E288" s="42">
        <v>45.167349999999999</v>
      </c>
    </row>
    <row r="289" spans="2:7" ht="15" thickBot="1" x14ac:dyDescent="0.4"/>
    <row r="290" spans="2:7" ht="27" thickBot="1" x14ac:dyDescent="0.4">
      <c r="B290" s="55" t="s">
        <v>315</v>
      </c>
      <c r="C290" s="43" t="s">
        <v>316</v>
      </c>
      <c r="D290" s="43" t="s">
        <v>328</v>
      </c>
      <c r="E290" s="43" t="s">
        <v>318</v>
      </c>
      <c r="F290" s="43" t="s">
        <v>319</v>
      </c>
      <c r="G290" s="44" t="s">
        <v>320</v>
      </c>
    </row>
    <row r="291" spans="2:7" x14ac:dyDescent="0.35">
      <c r="B291" s="53" t="s">
        <v>397</v>
      </c>
      <c r="C291" s="5">
        <v>1</v>
      </c>
      <c r="D291" s="5">
        <v>3555.640218</v>
      </c>
      <c r="E291" s="5">
        <v>3555.640218</v>
      </c>
      <c r="F291" s="5">
        <v>4.68</v>
      </c>
      <c r="G291" s="42">
        <v>3.09E-2</v>
      </c>
    </row>
    <row r="292" spans="2:7" x14ac:dyDescent="0.35">
      <c r="B292" s="51"/>
    </row>
    <row r="293" spans="2:7" x14ac:dyDescent="0.35">
      <c r="B293" s="51"/>
    </row>
    <row r="297" spans="2:7" x14ac:dyDescent="0.35">
      <c r="B297" s="50" t="s">
        <v>306</v>
      </c>
    </row>
    <row r="298" spans="2:7" x14ac:dyDescent="0.35">
      <c r="B298" s="50"/>
    </row>
    <row r="299" spans="2:7" x14ac:dyDescent="0.35">
      <c r="B299" s="50" t="s">
        <v>357</v>
      </c>
    </row>
    <row r="300" spans="2:7" ht="15" thickBot="1" x14ac:dyDescent="0.4"/>
    <row r="301" spans="2:7" ht="27" thickBot="1" x14ac:dyDescent="0.4">
      <c r="B301" s="55" t="s">
        <v>315</v>
      </c>
      <c r="C301" s="43" t="s">
        <v>316</v>
      </c>
      <c r="D301" s="43" t="s">
        <v>317</v>
      </c>
      <c r="E301" s="43" t="s">
        <v>318</v>
      </c>
      <c r="F301" s="43" t="s">
        <v>319</v>
      </c>
      <c r="G301" s="44" t="s">
        <v>320</v>
      </c>
    </row>
    <row r="302" spans="2:7" ht="15" thickBot="1" x14ac:dyDescent="0.4">
      <c r="B302" s="56" t="s">
        <v>321</v>
      </c>
      <c r="C302" s="3">
        <v>1</v>
      </c>
      <c r="D302" s="3">
        <v>2004.6691000000001</v>
      </c>
      <c r="E302" s="3">
        <v>2004.6691000000001</v>
      </c>
      <c r="F302" s="3">
        <v>2.87</v>
      </c>
      <c r="G302" s="45">
        <v>9.11E-2</v>
      </c>
    </row>
    <row r="303" spans="2:7" ht="15" thickBot="1" x14ac:dyDescent="0.4">
      <c r="B303" s="56" t="s">
        <v>322</v>
      </c>
      <c r="C303" s="3">
        <v>488</v>
      </c>
      <c r="D303" s="3">
        <v>341329.3798</v>
      </c>
      <c r="E303" s="3">
        <v>699.44550000000004</v>
      </c>
      <c r="F303" s="3"/>
      <c r="G303" s="45"/>
    </row>
    <row r="304" spans="2:7" x14ac:dyDescent="0.35">
      <c r="B304" s="53" t="s">
        <v>323</v>
      </c>
      <c r="C304" s="5">
        <v>489</v>
      </c>
      <c r="D304" s="5">
        <v>343334.049</v>
      </c>
      <c r="E304" s="5"/>
      <c r="F304" s="5"/>
      <c r="G304" s="42"/>
    </row>
    <row r="305" spans="2:7" ht="15" thickBot="1" x14ac:dyDescent="0.4"/>
    <row r="306" spans="2:7" ht="53" thickBot="1" x14ac:dyDescent="0.4">
      <c r="B306" s="55" t="s">
        <v>324</v>
      </c>
      <c r="C306" s="43" t="s">
        <v>325</v>
      </c>
      <c r="D306" s="43" t="s">
        <v>326</v>
      </c>
      <c r="E306" s="44" t="s">
        <v>358</v>
      </c>
    </row>
    <row r="307" spans="2:7" x14ac:dyDescent="0.35">
      <c r="B307" s="57">
        <v>5.8389999999999996E-3</v>
      </c>
      <c r="C307" s="5">
        <v>56.162979999999997</v>
      </c>
      <c r="D307" s="5">
        <v>26.447030000000002</v>
      </c>
      <c r="E307" s="42">
        <v>47.089799999999997</v>
      </c>
    </row>
    <row r="308" spans="2:7" ht="15" thickBot="1" x14ac:dyDescent="0.4"/>
    <row r="309" spans="2:7" ht="27" thickBot="1" x14ac:dyDescent="0.4">
      <c r="B309" s="55" t="s">
        <v>315</v>
      </c>
      <c r="C309" s="43" t="s">
        <v>316</v>
      </c>
      <c r="D309" s="43" t="s">
        <v>328</v>
      </c>
      <c r="E309" s="43" t="s">
        <v>318</v>
      </c>
      <c r="F309" s="43" t="s">
        <v>319</v>
      </c>
      <c r="G309" s="44" t="s">
        <v>320</v>
      </c>
    </row>
    <row r="310" spans="2:7" x14ac:dyDescent="0.35">
      <c r="B310" s="53" t="s">
        <v>397</v>
      </c>
      <c r="C310" s="5">
        <v>1</v>
      </c>
      <c r="D310" s="5">
        <v>2004.669146</v>
      </c>
      <c r="E310" s="5">
        <v>2004.669146</v>
      </c>
      <c r="F310" s="5">
        <v>2.87</v>
      </c>
      <c r="G310" s="42">
        <v>9.11E-2</v>
      </c>
    </row>
    <row r="311" spans="2:7" x14ac:dyDescent="0.35">
      <c r="B311" s="51"/>
    </row>
    <row r="312" spans="2:7" x14ac:dyDescent="0.35">
      <c r="B312" s="51"/>
    </row>
    <row r="316" spans="2:7" x14ac:dyDescent="0.35">
      <c r="B316" s="50" t="s">
        <v>306</v>
      </c>
    </row>
    <row r="317" spans="2:7" x14ac:dyDescent="0.35">
      <c r="B317" s="50"/>
    </row>
    <row r="318" spans="2:7" x14ac:dyDescent="0.35">
      <c r="B318" s="50" t="s">
        <v>359</v>
      </c>
    </row>
    <row r="319" spans="2:7" ht="15" thickBot="1" x14ac:dyDescent="0.4"/>
    <row r="320" spans="2:7" ht="27" thickBot="1" x14ac:dyDescent="0.4">
      <c r="B320" s="55" t="s">
        <v>315</v>
      </c>
      <c r="C320" s="43" t="s">
        <v>316</v>
      </c>
      <c r="D320" s="43" t="s">
        <v>317</v>
      </c>
      <c r="E320" s="43" t="s">
        <v>318</v>
      </c>
      <c r="F320" s="43" t="s">
        <v>319</v>
      </c>
      <c r="G320" s="44" t="s">
        <v>320</v>
      </c>
    </row>
    <row r="321" spans="2:7" ht="15" thickBot="1" x14ac:dyDescent="0.4">
      <c r="B321" s="56" t="s">
        <v>321</v>
      </c>
      <c r="C321" s="3">
        <v>1</v>
      </c>
      <c r="D321" s="3">
        <v>1541.2801999999999</v>
      </c>
      <c r="E321" s="3">
        <v>1541.2801999999999</v>
      </c>
      <c r="F321" s="3">
        <v>1.8</v>
      </c>
      <c r="G321" s="45">
        <v>0.18</v>
      </c>
    </row>
    <row r="322" spans="2:7" ht="15" thickBot="1" x14ac:dyDescent="0.4">
      <c r="B322" s="56" t="s">
        <v>322</v>
      </c>
      <c r="C322" s="3">
        <v>488</v>
      </c>
      <c r="D322" s="3">
        <v>417165.21980000002</v>
      </c>
      <c r="E322" s="3">
        <v>854.84680000000003</v>
      </c>
      <c r="F322" s="3"/>
      <c r="G322" s="45"/>
    </row>
    <row r="323" spans="2:7" x14ac:dyDescent="0.35">
      <c r="B323" s="53" t="s">
        <v>323</v>
      </c>
      <c r="C323" s="5">
        <v>489</v>
      </c>
      <c r="D323" s="5">
        <v>418706.5</v>
      </c>
      <c r="E323" s="5"/>
      <c r="F323" s="5"/>
      <c r="G323" s="42"/>
    </row>
    <row r="324" spans="2:7" ht="15" thickBot="1" x14ac:dyDescent="0.4"/>
    <row r="325" spans="2:7" ht="53" thickBot="1" x14ac:dyDescent="0.4">
      <c r="B325" s="55" t="s">
        <v>324</v>
      </c>
      <c r="C325" s="43" t="s">
        <v>325</v>
      </c>
      <c r="D325" s="43" t="s">
        <v>326</v>
      </c>
      <c r="E325" s="44" t="s">
        <v>360</v>
      </c>
    </row>
    <row r="326" spans="2:7" x14ac:dyDescent="0.35">
      <c r="B326" s="57">
        <v>3.6809999999999998E-3</v>
      </c>
      <c r="C326" s="5">
        <v>65.283680000000004</v>
      </c>
      <c r="D326" s="5">
        <v>29.237760000000002</v>
      </c>
      <c r="E326" s="42">
        <v>44.785710000000002</v>
      </c>
    </row>
    <row r="327" spans="2:7" ht="15" thickBot="1" x14ac:dyDescent="0.4"/>
    <row r="328" spans="2:7" ht="27" thickBot="1" x14ac:dyDescent="0.4">
      <c r="B328" s="55" t="s">
        <v>315</v>
      </c>
      <c r="C328" s="43" t="s">
        <v>316</v>
      </c>
      <c r="D328" s="43" t="s">
        <v>328</v>
      </c>
      <c r="E328" s="43" t="s">
        <v>318</v>
      </c>
      <c r="F328" s="43" t="s">
        <v>319</v>
      </c>
      <c r="G328" s="44" t="s">
        <v>320</v>
      </c>
    </row>
    <row r="329" spans="2:7" x14ac:dyDescent="0.35">
      <c r="B329" s="53" t="s">
        <v>397</v>
      </c>
      <c r="C329" s="5">
        <v>1</v>
      </c>
      <c r="D329" s="5">
        <v>1541.2801669999999</v>
      </c>
      <c r="E329" s="5">
        <v>1541.2801669999999</v>
      </c>
      <c r="F329" s="5">
        <v>1.8</v>
      </c>
      <c r="G329" s="42">
        <v>0.18</v>
      </c>
    </row>
    <row r="330" spans="2:7" x14ac:dyDescent="0.35">
      <c r="B330" s="51"/>
    </row>
    <row r="331" spans="2:7" x14ac:dyDescent="0.35">
      <c r="B331" s="51"/>
    </row>
    <row r="335" spans="2:7" x14ac:dyDescent="0.35">
      <c r="B335" s="50" t="s">
        <v>306</v>
      </c>
    </row>
    <row r="336" spans="2:7" x14ac:dyDescent="0.35">
      <c r="B336" s="50"/>
    </row>
    <row r="337" spans="2:7" x14ac:dyDescent="0.35">
      <c r="B337" s="50" t="s">
        <v>361</v>
      </c>
    </row>
    <row r="338" spans="2:7" ht="15" thickBot="1" x14ac:dyDescent="0.4"/>
    <row r="339" spans="2:7" ht="27" thickBot="1" x14ac:dyDescent="0.4">
      <c r="B339" s="55" t="s">
        <v>315</v>
      </c>
      <c r="C339" s="43" t="s">
        <v>316</v>
      </c>
      <c r="D339" s="43" t="s">
        <v>317</v>
      </c>
      <c r="E339" s="43" t="s">
        <v>318</v>
      </c>
      <c r="F339" s="43" t="s">
        <v>319</v>
      </c>
      <c r="G339" s="44" t="s">
        <v>320</v>
      </c>
    </row>
    <row r="340" spans="2:7" ht="15" thickBot="1" x14ac:dyDescent="0.4">
      <c r="B340" s="56" t="s">
        <v>321</v>
      </c>
      <c r="C340" s="3">
        <v>1</v>
      </c>
      <c r="D340" s="3">
        <v>1829.8015</v>
      </c>
      <c r="E340" s="3">
        <v>1829.8015</v>
      </c>
      <c r="F340" s="3">
        <v>2.94</v>
      </c>
      <c r="G340" s="45">
        <v>8.6900000000000005E-2</v>
      </c>
    </row>
    <row r="341" spans="2:7" ht="15" thickBot="1" x14ac:dyDescent="0.4">
      <c r="B341" s="56" t="s">
        <v>322</v>
      </c>
      <c r="C341" s="3">
        <v>488</v>
      </c>
      <c r="D341" s="3">
        <v>303510.23930000002</v>
      </c>
      <c r="E341" s="3">
        <v>621.94719999999995</v>
      </c>
      <c r="F341" s="3"/>
      <c r="G341" s="45"/>
    </row>
    <row r="342" spans="2:7" x14ac:dyDescent="0.35">
      <c r="B342" s="53" t="s">
        <v>323</v>
      </c>
      <c r="C342" s="5">
        <v>489</v>
      </c>
      <c r="D342" s="5">
        <v>305340.04080000002</v>
      </c>
      <c r="E342" s="5"/>
      <c r="F342" s="5"/>
      <c r="G342" s="42"/>
    </row>
    <row r="343" spans="2:7" ht="15" thickBot="1" x14ac:dyDescent="0.4"/>
    <row r="344" spans="2:7" ht="53" thickBot="1" x14ac:dyDescent="0.4">
      <c r="B344" s="55" t="s">
        <v>324</v>
      </c>
      <c r="C344" s="43" t="s">
        <v>325</v>
      </c>
      <c r="D344" s="43" t="s">
        <v>326</v>
      </c>
      <c r="E344" s="44" t="s">
        <v>362</v>
      </c>
    </row>
    <row r="345" spans="2:7" x14ac:dyDescent="0.35">
      <c r="B345" s="57">
        <v>5.9930000000000001E-3</v>
      </c>
      <c r="C345" s="5">
        <v>56.080979999999997</v>
      </c>
      <c r="D345" s="5">
        <v>24.938870000000001</v>
      </c>
      <c r="E345" s="42">
        <v>44.469389999999997</v>
      </c>
    </row>
    <row r="346" spans="2:7" ht="15" thickBot="1" x14ac:dyDescent="0.4"/>
    <row r="347" spans="2:7" ht="27" thickBot="1" x14ac:dyDescent="0.4">
      <c r="B347" s="55" t="s">
        <v>315</v>
      </c>
      <c r="C347" s="43" t="s">
        <v>316</v>
      </c>
      <c r="D347" s="43" t="s">
        <v>328</v>
      </c>
      <c r="E347" s="43" t="s">
        <v>318</v>
      </c>
      <c r="F347" s="43" t="s">
        <v>319</v>
      </c>
      <c r="G347" s="44" t="s">
        <v>320</v>
      </c>
    </row>
    <row r="348" spans="2:7" x14ac:dyDescent="0.35">
      <c r="B348" s="53" t="s">
        <v>397</v>
      </c>
      <c r="C348" s="5">
        <v>1</v>
      </c>
      <c r="D348" s="5">
        <v>1829.801483</v>
      </c>
      <c r="E348" s="5">
        <v>1829.801483</v>
      </c>
      <c r="F348" s="5">
        <v>2.94</v>
      </c>
      <c r="G348" s="42">
        <v>8.6900000000000005E-2</v>
      </c>
    </row>
    <row r="349" spans="2:7" x14ac:dyDescent="0.35">
      <c r="B349" s="51"/>
    </row>
    <row r="350" spans="2:7" x14ac:dyDescent="0.35">
      <c r="B350" s="51"/>
    </row>
    <row r="354" spans="2:7" x14ac:dyDescent="0.35">
      <c r="B354" s="50" t="s">
        <v>306</v>
      </c>
    </row>
    <row r="355" spans="2:7" x14ac:dyDescent="0.35">
      <c r="B355" s="50"/>
    </row>
    <row r="356" spans="2:7" x14ac:dyDescent="0.35">
      <c r="B356" s="50" t="s">
        <v>363</v>
      </c>
    </row>
    <row r="357" spans="2:7" ht="15" thickBot="1" x14ac:dyDescent="0.4"/>
    <row r="358" spans="2:7" ht="27" thickBot="1" x14ac:dyDescent="0.4">
      <c r="B358" s="55" t="s">
        <v>315</v>
      </c>
      <c r="C358" s="43" t="s">
        <v>316</v>
      </c>
      <c r="D358" s="43" t="s">
        <v>317</v>
      </c>
      <c r="E358" s="43" t="s">
        <v>318</v>
      </c>
      <c r="F358" s="43" t="s">
        <v>319</v>
      </c>
      <c r="G358" s="44" t="s">
        <v>320</v>
      </c>
    </row>
    <row r="359" spans="2:7" ht="15" thickBot="1" x14ac:dyDescent="0.4">
      <c r="B359" s="56" t="s">
        <v>321</v>
      </c>
      <c r="C359" s="3">
        <v>1</v>
      </c>
      <c r="D359" s="3">
        <v>1560.4543000000001</v>
      </c>
      <c r="E359" s="3">
        <v>1560.4543000000001</v>
      </c>
      <c r="F359" s="3">
        <v>2.35</v>
      </c>
      <c r="G359" s="45">
        <v>0.12609999999999999</v>
      </c>
    </row>
    <row r="360" spans="2:7" ht="15" thickBot="1" x14ac:dyDescent="0.4">
      <c r="B360" s="56" t="s">
        <v>322</v>
      </c>
      <c r="C360" s="3">
        <v>488</v>
      </c>
      <c r="D360" s="3">
        <v>324296.95179999998</v>
      </c>
      <c r="E360" s="3">
        <v>664.54290000000003</v>
      </c>
      <c r="F360" s="3"/>
      <c r="G360" s="45"/>
    </row>
    <row r="361" spans="2:7" x14ac:dyDescent="0.35">
      <c r="B361" s="53" t="s">
        <v>323</v>
      </c>
      <c r="C361" s="5">
        <v>489</v>
      </c>
      <c r="D361" s="5">
        <v>325857.40610000002</v>
      </c>
      <c r="E361" s="5"/>
      <c r="F361" s="5"/>
      <c r="G361" s="42"/>
    </row>
    <row r="362" spans="2:7" ht="15" thickBot="1" x14ac:dyDescent="0.4"/>
    <row r="363" spans="2:7" ht="27" thickBot="1" x14ac:dyDescent="0.4">
      <c r="B363" s="55" t="s">
        <v>324</v>
      </c>
      <c r="C363" s="43" t="s">
        <v>325</v>
      </c>
      <c r="D363" s="43" t="s">
        <v>326</v>
      </c>
      <c r="E363" s="44" t="s">
        <v>364</v>
      </c>
    </row>
    <row r="364" spans="2:7" x14ac:dyDescent="0.35">
      <c r="B364" s="57">
        <v>4.7889999999999999E-3</v>
      </c>
      <c r="C364" s="5">
        <v>55.88946</v>
      </c>
      <c r="D364" s="5">
        <v>25.778729999999999</v>
      </c>
      <c r="E364" s="42">
        <v>46.124490000000002</v>
      </c>
    </row>
    <row r="365" spans="2:7" ht="15" thickBot="1" x14ac:dyDescent="0.4"/>
    <row r="366" spans="2:7" ht="27" thickBot="1" x14ac:dyDescent="0.4">
      <c r="B366" s="55" t="s">
        <v>315</v>
      </c>
      <c r="C366" s="43" t="s">
        <v>316</v>
      </c>
      <c r="D366" s="43" t="s">
        <v>328</v>
      </c>
      <c r="E366" s="43" t="s">
        <v>318</v>
      </c>
      <c r="F366" s="43" t="s">
        <v>319</v>
      </c>
      <c r="G366" s="44" t="s">
        <v>320</v>
      </c>
    </row>
    <row r="367" spans="2:7" x14ac:dyDescent="0.35">
      <c r="B367" s="53" t="s">
        <v>397</v>
      </c>
      <c r="C367" s="5">
        <v>1</v>
      </c>
      <c r="D367" s="5">
        <v>1560.454289</v>
      </c>
      <c r="E367" s="5">
        <v>1560.454289</v>
      </c>
      <c r="F367" s="5">
        <v>2.35</v>
      </c>
      <c r="G367" s="42">
        <v>0.12609999999999999</v>
      </c>
    </row>
    <row r="368" spans="2:7" x14ac:dyDescent="0.35">
      <c r="B368" s="51"/>
    </row>
    <row r="369" spans="2:7" x14ac:dyDescent="0.35">
      <c r="B369" s="51"/>
    </row>
    <row r="373" spans="2:7" x14ac:dyDescent="0.35">
      <c r="B373" s="50" t="s">
        <v>306</v>
      </c>
    </row>
    <row r="374" spans="2:7" x14ac:dyDescent="0.35">
      <c r="B374" s="50"/>
    </row>
    <row r="375" spans="2:7" x14ac:dyDescent="0.35">
      <c r="B375" s="50" t="s">
        <v>365</v>
      </c>
    </row>
    <row r="376" spans="2:7" ht="15" thickBot="1" x14ac:dyDescent="0.4"/>
    <row r="377" spans="2:7" ht="27" thickBot="1" x14ac:dyDescent="0.4">
      <c r="B377" s="55" t="s">
        <v>315</v>
      </c>
      <c r="C377" s="43" t="s">
        <v>316</v>
      </c>
      <c r="D377" s="43" t="s">
        <v>317</v>
      </c>
      <c r="E377" s="43" t="s">
        <v>318</v>
      </c>
      <c r="F377" s="43" t="s">
        <v>319</v>
      </c>
      <c r="G377" s="44" t="s">
        <v>320</v>
      </c>
    </row>
    <row r="378" spans="2:7" ht="15" thickBot="1" x14ac:dyDescent="0.4">
      <c r="B378" s="56" t="s">
        <v>321</v>
      </c>
      <c r="C378" s="3">
        <v>1</v>
      </c>
      <c r="D378" s="3">
        <v>128.72954999999999</v>
      </c>
      <c r="E378" s="3">
        <v>128.72954999999999</v>
      </c>
      <c r="F378" s="3">
        <v>2.69</v>
      </c>
      <c r="G378" s="45">
        <v>0.1017</v>
      </c>
    </row>
    <row r="379" spans="2:7" ht="15" thickBot="1" x14ac:dyDescent="0.4">
      <c r="B379" s="56" t="s">
        <v>322</v>
      </c>
      <c r="C379" s="3">
        <v>488</v>
      </c>
      <c r="D379" s="3">
        <v>23363.190610000001</v>
      </c>
      <c r="E379" s="3">
        <v>47.875390000000003</v>
      </c>
      <c r="F379" s="3"/>
      <c r="G379" s="45"/>
    </row>
    <row r="380" spans="2:7" x14ac:dyDescent="0.35">
      <c r="B380" s="53" t="s">
        <v>323</v>
      </c>
      <c r="C380" s="5">
        <v>489</v>
      </c>
      <c r="D380" s="5">
        <v>23491.920160000001</v>
      </c>
      <c r="E380" s="5"/>
      <c r="F380" s="5"/>
      <c r="G380" s="42"/>
    </row>
    <row r="381" spans="2:7" ht="15" thickBot="1" x14ac:dyDescent="0.4"/>
    <row r="382" spans="2:7" ht="66" thickBot="1" x14ac:dyDescent="0.4">
      <c r="B382" s="55" t="s">
        <v>324</v>
      </c>
      <c r="C382" s="43" t="s">
        <v>325</v>
      </c>
      <c r="D382" s="43" t="s">
        <v>326</v>
      </c>
      <c r="E382" s="44" t="s">
        <v>366</v>
      </c>
    </row>
    <row r="383" spans="2:7" x14ac:dyDescent="0.35">
      <c r="B383" s="57">
        <v>5.4799999999999996E-3</v>
      </c>
      <c r="C383" s="5">
        <v>12.867190000000001</v>
      </c>
      <c r="D383" s="5">
        <v>6.9192039999999997</v>
      </c>
      <c r="E383" s="42">
        <v>53.774000000000001</v>
      </c>
    </row>
    <row r="384" spans="2:7" ht="15" thickBot="1" x14ac:dyDescent="0.4"/>
    <row r="385" spans="2:7" ht="27" thickBot="1" x14ac:dyDescent="0.4">
      <c r="B385" s="55" t="s">
        <v>315</v>
      </c>
      <c r="C385" s="43" t="s">
        <v>316</v>
      </c>
      <c r="D385" s="43" t="s">
        <v>328</v>
      </c>
      <c r="E385" s="43" t="s">
        <v>318</v>
      </c>
      <c r="F385" s="43" t="s">
        <v>319</v>
      </c>
      <c r="G385" s="44" t="s">
        <v>320</v>
      </c>
    </row>
    <row r="386" spans="2:7" x14ac:dyDescent="0.35">
      <c r="B386" s="53" t="s">
        <v>397</v>
      </c>
      <c r="C386" s="5">
        <v>1</v>
      </c>
      <c r="D386" s="5">
        <v>128.7295537</v>
      </c>
      <c r="E386" s="5">
        <v>128.7295537</v>
      </c>
      <c r="F386" s="5">
        <v>2.69</v>
      </c>
      <c r="G386" s="42">
        <v>0.1017</v>
      </c>
    </row>
    <row r="387" spans="2:7" x14ac:dyDescent="0.35">
      <c r="B387" s="51"/>
    </row>
    <row r="388" spans="2:7" x14ac:dyDescent="0.35">
      <c r="B388" s="51"/>
    </row>
    <row r="392" spans="2:7" x14ac:dyDescent="0.35">
      <c r="B392" s="50" t="s">
        <v>306</v>
      </c>
    </row>
    <row r="393" spans="2:7" x14ac:dyDescent="0.35">
      <c r="B393" s="50"/>
    </row>
    <row r="394" spans="2:7" x14ac:dyDescent="0.35">
      <c r="B394" s="50" t="s">
        <v>367</v>
      </c>
    </row>
    <row r="395" spans="2:7" ht="15" thickBot="1" x14ac:dyDescent="0.4"/>
    <row r="396" spans="2:7" ht="27" thickBot="1" x14ac:dyDescent="0.4">
      <c r="B396" s="55" t="s">
        <v>315</v>
      </c>
      <c r="C396" s="43" t="s">
        <v>316</v>
      </c>
      <c r="D396" s="43" t="s">
        <v>317</v>
      </c>
      <c r="E396" s="43" t="s">
        <v>318</v>
      </c>
      <c r="F396" s="43" t="s">
        <v>319</v>
      </c>
      <c r="G396" s="44" t="s">
        <v>320</v>
      </c>
    </row>
    <row r="397" spans="2:7" ht="15" thickBot="1" x14ac:dyDescent="0.4">
      <c r="B397" s="56" t="s">
        <v>321</v>
      </c>
      <c r="C397" s="3">
        <v>1</v>
      </c>
      <c r="D397" s="3">
        <v>240464053</v>
      </c>
      <c r="E397" s="3">
        <v>240464053</v>
      </c>
      <c r="F397" s="3">
        <v>2.11</v>
      </c>
      <c r="G397" s="45">
        <v>0.14660000000000001</v>
      </c>
    </row>
    <row r="398" spans="2:7" ht="15" thickBot="1" x14ac:dyDescent="0.4">
      <c r="B398" s="56" t="s">
        <v>322</v>
      </c>
      <c r="C398" s="3">
        <v>488</v>
      </c>
      <c r="D398" s="3">
        <v>55507720214</v>
      </c>
      <c r="E398" s="3">
        <v>113745328</v>
      </c>
      <c r="F398" s="3"/>
      <c r="G398" s="45"/>
    </row>
    <row r="399" spans="2:7" x14ac:dyDescent="0.35">
      <c r="B399" s="53" t="s">
        <v>323</v>
      </c>
      <c r="C399" s="5">
        <v>489</v>
      </c>
      <c r="D399" s="5">
        <v>55748184267</v>
      </c>
      <c r="E399" s="5"/>
      <c r="F399" s="5"/>
      <c r="G399" s="42"/>
    </row>
    <row r="400" spans="2:7" ht="15" thickBot="1" x14ac:dyDescent="0.4"/>
    <row r="401" spans="2:7" ht="53" thickBot="1" x14ac:dyDescent="0.4">
      <c r="B401" s="55" t="s">
        <v>324</v>
      </c>
      <c r="C401" s="43" t="s">
        <v>325</v>
      </c>
      <c r="D401" s="43" t="s">
        <v>326</v>
      </c>
      <c r="E401" s="44" t="s">
        <v>368</v>
      </c>
    </row>
    <row r="402" spans="2:7" x14ac:dyDescent="0.35">
      <c r="B402" s="57">
        <v>4.313E-3</v>
      </c>
      <c r="C402" s="5">
        <v>28.174240000000001</v>
      </c>
      <c r="D402" s="5">
        <v>10665.15</v>
      </c>
      <c r="E402" s="42">
        <v>37854.239999999998</v>
      </c>
    </row>
    <row r="403" spans="2:7" ht="15" thickBot="1" x14ac:dyDescent="0.4"/>
    <row r="404" spans="2:7" ht="27" thickBot="1" x14ac:dyDescent="0.4">
      <c r="B404" s="55" t="s">
        <v>315</v>
      </c>
      <c r="C404" s="43" t="s">
        <v>316</v>
      </c>
      <c r="D404" s="43" t="s">
        <v>328</v>
      </c>
      <c r="E404" s="43" t="s">
        <v>318</v>
      </c>
      <c r="F404" s="43" t="s">
        <v>319</v>
      </c>
      <c r="G404" s="44" t="s">
        <v>320</v>
      </c>
    </row>
    <row r="405" spans="2:7" x14ac:dyDescent="0.35">
      <c r="B405" s="53" t="s">
        <v>397</v>
      </c>
      <c r="C405" s="5">
        <v>1</v>
      </c>
      <c r="D405" s="5">
        <v>240464052.69999999</v>
      </c>
      <c r="E405" s="5">
        <v>240464052.69999999</v>
      </c>
      <c r="F405" s="5">
        <v>2.11</v>
      </c>
      <c r="G405" s="42">
        <v>0.14660000000000001</v>
      </c>
    </row>
    <row r="406" spans="2:7" x14ac:dyDescent="0.35">
      <c r="B406" s="51"/>
    </row>
    <row r="407" spans="2:7" x14ac:dyDescent="0.35">
      <c r="B407" s="51"/>
    </row>
    <row r="411" spans="2:7" x14ac:dyDescent="0.35">
      <c r="B411" s="50" t="s">
        <v>306</v>
      </c>
    </row>
    <row r="412" spans="2:7" x14ac:dyDescent="0.35">
      <c r="B412" s="50"/>
    </row>
    <row r="413" spans="2:7" x14ac:dyDescent="0.35">
      <c r="B413" s="50" t="s">
        <v>369</v>
      </c>
    </row>
    <row r="414" spans="2:7" ht="15" thickBot="1" x14ac:dyDescent="0.4"/>
    <row r="415" spans="2:7" ht="27" thickBot="1" x14ac:dyDescent="0.4">
      <c r="B415" s="55" t="s">
        <v>315</v>
      </c>
      <c r="C415" s="43" t="s">
        <v>316</v>
      </c>
      <c r="D415" s="43" t="s">
        <v>317</v>
      </c>
      <c r="E415" s="43" t="s">
        <v>318</v>
      </c>
      <c r="F415" s="43" t="s">
        <v>319</v>
      </c>
      <c r="G415" s="44" t="s">
        <v>320</v>
      </c>
    </row>
    <row r="416" spans="2:7" ht="15" thickBot="1" x14ac:dyDescent="0.4">
      <c r="B416" s="56" t="s">
        <v>321</v>
      </c>
      <c r="C416" s="3">
        <v>1</v>
      </c>
      <c r="D416" s="3">
        <v>6863189595.6999998</v>
      </c>
      <c r="E416" s="3">
        <v>6863189595.6999998</v>
      </c>
      <c r="F416" s="3">
        <v>0.28999999999999998</v>
      </c>
      <c r="G416" s="45">
        <v>0.59240000000000004</v>
      </c>
    </row>
    <row r="417" spans="2:7" ht="15" thickBot="1" x14ac:dyDescent="0.4">
      <c r="B417" s="56" t="s">
        <v>322</v>
      </c>
      <c r="C417" s="3">
        <v>488</v>
      </c>
      <c r="D417" s="46">
        <v>11672761000000</v>
      </c>
      <c r="E417" s="3">
        <v>23919591845</v>
      </c>
      <c r="F417" s="3"/>
      <c r="G417" s="45"/>
    </row>
    <row r="418" spans="2:7" x14ac:dyDescent="0.35">
      <c r="B418" s="53" t="s">
        <v>323</v>
      </c>
      <c r="C418" s="5">
        <v>489</v>
      </c>
      <c r="D418" s="47">
        <v>11679624000000</v>
      </c>
      <c r="E418" s="5"/>
      <c r="F418" s="5"/>
      <c r="G418" s="42"/>
    </row>
    <row r="419" spans="2:7" ht="15" thickBot="1" x14ac:dyDescent="0.4"/>
    <row r="420" spans="2:7" ht="53" thickBot="1" x14ac:dyDescent="0.4">
      <c r="B420" s="55" t="s">
        <v>324</v>
      </c>
      <c r="C420" s="43" t="s">
        <v>325</v>
      </c>
      <c r="D420" s="43" t="s">
        <v>326</v>
      </c>
      <c r="E420" s="44" t="s">
        <v>370</v>
      </c>
    </row>
    <row r="421" spans="2:7" x14ac:dyDescent="0.35">
      <c r="B421" s="57">
        <v>5.8799999999999998E-4</v>
      </c>
      <c r="C421" s="5">
        <v>48.15457</v>
      </c>
      <c r="D421" s="5">
        <v>154659.6</v>
      </c>
      <c r="E421" s="42">
        <v>321173.3</v>
      </c>
    </row>
    <row r="422" spans="2:7" ht="15" thickBot="1" x14ac:dyDescent="0.4"/>
    <row r="423" spans="2:7" ht="27" thickBot="1" x14ac:dyDescent="0.4">
      <c r="B423" s="55" t="s">
        <v>315</v>
      </c>
      <c r="C423" s="43" t="s">
        <v>316</v>
      </c>
      <c r="D423" s="43" t="s">
        <v>328</v>
      </c>
      <c r="E423" s="43" t="s">
        <v>318</v>
      </c>
      <c r="F423" s="43" t="s">
        <v>319</v>
      </c>
      <c r="G423" s="44" t="s">
        <v>320</v>
      </c>
    </row>
    <row r="424" spans="2:7" x14ac:dyDescent="0.35">
      <c r="B424" s="53" t="s">
        <v>397</v>
      </c>
      <c r="C424" s="5">
        <v>1</v>
      </c>
      <c r="D424" s="5">
        <v>6863189596</v>
      </c>
      <c r="E424" s="5">
        <v>6863189596</v>
      </c>
      <c r="F424" s="5">
        <v>0.28999999999999998</v>
      </c>
      <c r="G424" s="42">
        <v>0.59240000000000004</v>
      </c>
    </row>
    <row r="425" spans="2:7" x14ac:dyDescent="0.35">
      <c r="B425" s="51"/>
    </row>
    <row r="426" spans="2:7" x14ac:dyDescent="0.35">
      <c r="B426" s="51"/>
    </row>
    <row r="430" spans="2:7" x14ac:dyDescent="0.35">
      <c r="B430" s="50" t="s">
        <v>306</v>
      </c>
    </row>
    <row r="431" spans="2:7" x14ac:dyDescent="0.35">
      <c r="B431" s="50"/>
    </row>
    <row r="432" spans="2:7" x14ac:dyDescent="0.35">
      <c r="B432" s="50" t="s">
        <v>371</v>
      </c>
    </row>
    <row r="433" spans="2:7" ht="15" thickBot="1" x14ac:dyDescent="0.4"/>
    <row r="434" spans="2:7" ht="27" thickBot="1" x14ac:dyDescent="0.4">
      <c r="B434" s="55" t="s">
        <v>315</v>
      </c>
      <c r="C434" s="43" t="s">
        <v>316</v>
      </c>
      <c r="D434" s="43" t="s">
        <v>317</v>
      </c>
      <c r="E434" s="43" t="s">
        <v>318</v>
      </c>
      <c r="F434" s="43" t="s">
        <v>319</v>
      </c>
      <c r="G434" s="44" t="s">
        <v>320</v>
      </c>
    </row>
    <row r="435" spans="2:7" ht="15" thickBot="1" x14ac:dyDescent="0.4">
      <c r="B435" s="56" t="s">
        <v>321</v>
      </c>
      <c r="C435" s="3">
        <v>1</v>
      </c>
      <c r="D435" s="3">
        <v>1479339352.2</v>
      </c>
      <c r="E435" s="3">
        <v>1479339352.2</v>
      </c>
      <c r="F435" s="3">
        <v>1.82</v>
      </c>
      <c r="G435" s="45">
        <v>0.17849999999999999</v>
      </c>
    </row>
    <row r="436" spans="2:7" ht="15" thickBot="1" x14ac:dyDescent="0.4">
      <c r="B436" s="56" t="s">
        <v>322</v>
      </c>
      <c r="C436" s="3">
        <v>488</v>
      </c>
      <c r="D436" s="3">
        <v>397669044981</v>
      </c>
      <c r="E436" s="3">
        <v>814895583.98000002</v>
      </c>
      <c r="F436" s="3"/>
      <c r="G436" s="45"/>
    </row>
    <row r="437" spans="2:7" x14ac:dyDescent="0.35">
      <c r="B437" s="53" t="s">
        <v>323</v>
      </c>
      <c r="C437" s="5">
        <v>489</v>
      </c>
      <c r="D437" s="5">
        <v>399148384334</v>
      </c>
      <c r="E437" s="5"/>
      <c r="F437" s="5"/>
      <c r="G437" s="42"/>
    </row>
    <row r="438" spans="2:7" ht="15" thickBot="1" x14ac:dyDescent="0.4"/>
    <row r="439" spans="2:7" ht="66" thickBot="1" x14ac:dyDescent="0.4">
      <c r="B439" s="55" t="s">
        <v>324</v>
      </c>
      <c r="C439" s="43" t="s">
        <v>325</v>
      </c>
      <c r="D439" s="43" t="s">
        <v>326</v>
      </c>
      <c r="E439" s="44" t="s">
        <v>372</v>
      </c>
    </row>
    <row r="440" spans="2:7" x14ac:dyDescent="0.35">
      <c r="B440" s="57">
        <v>3.7060000000000001E-3</v>
      </c>
      <c r="C440" s="5">
        <v>30.31925</v>
      </c>
      <c r="D440" s="5">
        <v>28546.38</v>
      </c>
      <c r="E440" s="42">
        <v>94152.63</v>
      </c>
    </row>
    <row r="441" spans="2:7" ht="15" thickBot="1" x14ac:dyDescent="0.4"/>
    <row r="442" spans="2:7" ht="27" thickBot="1" x14ac:dyDescent="0.4">
      <c r="B442" s="55" t="s">
        <v>315</v>
      </c>
      <c r="C442" s="43" t="s">
        <v>316</v>
      </c>
      <c r="D442" s="43" t="s">
        <v>328</v>
      </c>
      <c r="E442" s="43" t="s">
        <v>318</v>
      </c>
      <c r="F442" s="43" t="s">
        <v>319</v>
      </c>
      <c r="G442" s="44" t="s">
        <v>320</v>
      </c>
    </row>
    <row r="443" spans="2:7" x14ac:dyDescent="0.35">
      <c r="B443" s="53" t="s">
        <v>397</v>
      </c>
      <c r="C443" s="5">
        <v>1</v>
      </c>
      <c r="D443" s="5">
        <v>1479339352</v>
      </c>
      <c r="E443" s="5">
        <v>1479339352</v>
      </c>
      <c r="F443" s="5">
        <v>1.82</v>
      </c>
      <c r="G443" s="42">
        <v>0.17849999999999999</v>
      </c>
    </row>
    <row r="444" spans="2:7" x14ac:dyDescent="0.35">
      <c r="B444" s="51"/>
    </row>
    <row r="445" spans="2:7" x14ac:dyDescent="0.35">
      <c r="B445" s="51"/>
    </row>
    <row r="449" spans="2:7" x14ac:dyDescent="0.35">
      <c r="B449" s="50" t="s">
        <v>306</v>
      </c>
    </row>
    <row r="450" spans="2:7" x14ac:dyDescent="0.35">
      <c r="B450" s="50"/>
    </row>
    <row r="451" spans="2:7" x14ac:dyDescent="0.35">
      <c r="B451" s="50" t="s">
        <v>373</v>
      </c>
    </row>
    <row r="452" spans="2:7" ht="15" thickBot="1" x14ac:dyDescent="0.4"/>
    <row r="453" spans="2:7" ht="27" thickBot="1" x14ac:dyDescent="0.4">
      <c r="B453" s="55" t="s">
        <v>315</v>
      </c>
      <c r="C453" s="43" t="s">
        <v>316</v>
      </c>
      <c r="D453" s="43" t="s">
        <v>317</v>
      </c>
      <c r="E453" s="43" t="s">
        <v>318</v>
      </c>
      <c r="F453" s="43" t="s">
        <v>319</v>
      </c>
      <c r="G453" s="44" t="s">
        <v>320</v>
      </c>
    </row>
    <row r="454" spans="2:7" ht="15" thickBot="1" x14ac:dyDescent="0.4">
      <c r="B454" s="56" t="s">
        <v>321</v>
      </c>
      <c r="C454" s="3">
        <v>1</v>
      </c>
      <c r="D454" s="3">
        <v>29.055018</v>
      </c>
      <c r="E454" s="3">
        <v>29.055018</v>
      </c>
      <c r="F454" s="3">
        <v>1.56</v>
      </c>
      <c r="G454" s="45">
        <v>0.21290000000000001</v>
      </c>
    </row>
    <row r="455" spans="2:7" ht="15" thickBot="1" x14ac:dyDescent="0.4">
      <c r="B455" s="56" t="s">
        <v>322</v>
      </c>
      <c r="C455" s="3">
        <v>488</v>
      </c>
      <c r="D455" s="3">
        <v>9113.7257979999995</v>
      </c>
      <c r="E455" s="3">
        <v>18.675668000000002</v>
      </c>
      <c r="F455" s="3"/>
      <c r="G455" s="45"/>
    </row>
    <row r="456" spans="2:7" x14ac:dyDescent="0.35">
      <c r="B456" s="53" t="s">
        <v>323</v>
      </c>
      <c r="C456" s="5">
        <v>489</v>
      </c>
      <c r="D456" s="5">
        <v>9142.7808160000004</v>
      </c>
      <c r="E456" s="5"/>
      <c r="F456" s="5"/>
      <c r="G456" s="42"/>
    </row>
    <row r="457" spans="2:7" ht="15" thickBot="1" x14ac:dyDescent="0.4"/>
    <row r="458" spans="2:7" ht="40" thickBot="1" x14ac:dyDescent="0.4">
      <c r="B458" s="55" t="s">
        <v>324</v>
      </c>
      <c r="C458" s="43" t="s">
        <v>325</v>
      </c>
      <c r="D458" s="43" t="s">
        <v>326</v>
      </c>
      <c r="E458" s="44" t="s">
        <v>374</v>
      </c>
    </row>
    <row r="459" spans="2:7" x14ac:dyDescent="0.35">
      <c r="B459" s="57">
        <v>3.1779999999999998E-3</v>
      </c>
      <c r="C459" s="5">
        <v>10.94908</v>
      </c>
      <c r="D459" s="5">
        <v>4.3215349999999999</v>
      </c>
      <c r="E459" s="42">
        <v>39.469389999999997</v>
      </c>
    </row>
    <row r="460" spans="2:7" ht="15" thickBot="1" x14ac:dyDescent="0.4"/>
    <row r="461" spans="2:7" ht="27" thickBot="1" x14ac:dyDescent="0.4">
      <c r="B461" s="55" t="s">
        <v>315</v>
      </c>
      <c r="C461" s="43" t="s">
        <v>316</v>
      </c>
      <c r="D461" s="43" t="s">
        <v>328</v>
      </c>
      <c r="E461" s="43" t="s">
        <v>318</v>
      </c>
      <c r="F461" s="43" t="s">
        <v>319</v>
      </c>
      <c r="G461" s="44" t="s">
        <v>320</v>
      </c>
    </row>
    <row r="462" spans="2:7" x14ac:dyDescent="0.35">
      <c r="B462" s="53" t="s">
        <v>397</v>
      </c>
      <c r="C462" s="5">
        <v>1</v>
      </c>
      <c r="D462" s="5">
        <v>29.05501799</v>
      </c>
      <c r="E462" s="5">
        <v>29.05501799</v>
      </c>
      <c r="F462" s="5">
        <v>1.56</v>
      </c>
      <c r="G462" s="42">
        <v>0.21290000000000001</v>
      </c>
    </row>
    <row r="463" spans="2:7" x14ac:dyDescent="0.35">
      <c r="B463" s="51"/>
    </row>
    <row r="464" spans="2:7" x14ac:dyDescent="0.35">
      <c r="B464" s="51"/>
    </row>
    <row r="468" spans="2:7" x14ac:dyDescent="0.35">
      <c r="B468" s="50" t="s">
        <v>306</v>
      </c>
    </row>
    <row r="469" spans="2:7" x14ac:dyDescent="0.35">
      <c r="B469" s="50"/>
    </row>
    <row r="470" spans="2:7" x14ac:dyDescent="0.35">
      <c r="B470" s="50" t="s">
        <v>375</v>
      </c>
    </row>
    <row r="471" spans="2:7" ht="15" thickBot="1" x14ac:dyDescent="0.4"/>
    <row r="472" spans="2:7" ht="27" thickBot="1" x14ac:dyDescent="0.4">
      <c r="B472" s="55" t="s">
        <v>315</v>
      </c>
      <c r="C472" s="43" t="s">
        <v>316</v>
      </c>
      <c r="D472" s="43" t="s">
        <v>317</v>
      </c>
      <c r="E472" s="43" t="s">
        <v>318</v>
      </c>
      <c r="F472" s="43" t="s">
        <v>319</v>
      </c>
      <c r="G472" s="44" t="s">
        <v>320</v>
      </c>
    </row>
    <row r="473" spans="2:7" ht="15" thickBot="1" x14ac:dyDescent="0.4">
      <c r="B473" s="56" t="s">
        <v>321</v>
      </c>
      <c r="C473" s="3">
        <v>1</v>
      </c>
      <c r="D473" s="3">
        <v>5121642026.1999998</v>
      </c>
      <c r="E473" s="3">
        <v>5121642026.1999998</v>
      </c>
      <c r="F473" s="3">
        <v>2.25</v>
      </c>
      <c r="G473" s="45">
        <v>0.13439999999999999</v>
      </c>
    </row>
    <row r="474" spans="2:7" ht="15" thickBot="1" x14ac:dyDescent="0.4">
      <c r="B474" s="56" t="s">
        <v>322</v>
      </c>
      <c r="C474" s="3">
        <v>488</v>
      </c>
      <c r="D474" s="46">
        <v>1111516400000</v>
      </c>
      <c r="E474" s="3">
        <v>2277697478.6999998</v>
      </c>
      <c r="F474" s="3"/>
      <c r="G474" s="45"/>
    </row>
    <row r="475" spans="2:7" x14ac:dyDescent="0.35">
      <c r="B475" s="53" t="s">
        <v>323</v>
      </c>
      <c r="C475" s="5">
        <v>489</v>
      </c>
      <c r="D475" s="47">
        <v>1116638000000</v>
      </c>
      <c r="E475" s="5"/>
      <c r="F475" s="5"/>
      <c r="G475" s="42"/>
    </row>
    <row r="476" spans="2:7" ht="15" thickBot="1" x14ac:dyDescent="0.4"/>
    <row r="477" spans="2:7" ht="53" thickBot="1" x14ac:dyDescent="0.4">
      <c r="B477" s="55" t="s">
        <v>324</v>
      </c>
      <c r="C477" s="43" t="s">
        <v>325</v>
      </c>
      <c r="D477" s="43" t="s">
        <v>326</v>
      </c>
      <c r="E477" s="44" t="s">
        <v>376</v>
      </c>
    </row>
    <row r="478" spans="2:7" x14ac:dyDescent="0.35">
      <c r="B478" s="57">
        <v>4.5869999999999999E-3</v>
      </c>
      <c r="C478" s="5">
        <v>112.0145</v>
      </c>
      <c r="D478" s="5">
        <v>47725.23</v>
      </c>
      <c r="E478" s="42">
        <v>42606.28</v>
      </c>
    </row>
    <row r="479" spans="2:7" ht="15" thickBot="1" x14ac:dyDescent="0.4"/>
    <row r="480" spans="2:7" ht="27" thickBot="1" x14ac:dyDescent="0.4">
      <c r="B480" s="55" t="s">
        <v>315</v>
      </c>
      <c r="C480" s="43" t="s">
        <v>316</v>
      </c>
      <c r="D480" s="43" t="s">
        <v>328</v>
      </c>
      <c r="E480" s="43" t="s">
        <v>318</v>
      </c>
      <c r="F480" s="43" t="s">
        <v>319</v>
      </c>
      <c r="G480" s="44" t="s">
        <v>320</v>
      </c>
    </row>
    <row r="481" spans="2:7" x14ac:dyDescent="0.35">
      <c r="B481" s="53" t="s">
        <v>397</v>
      </c>
      <c r="C481" s="5">
        <v>1</v>
      </c>
      <c r="D481" s="5">
        <v>5121642026</v>
      </c>
      <c r="E481" s="5">
        <v>5121642026</v>
      </c>
      <c r="F481" s="5">
        <v>2.25</v>
      </c>
      <c r="G481" s="42">
        <v>0.13439999999999999</v>
      </c>
    </row>
    <row r="482" spans="2:7" x14ac:dyDescent="0.35">
      <c r="B482" s="51"/>
    </row>
    <row r="483" spans="2:7" x14ac:dyDescent="0.35">
      <c r="B483" s="51"/>
    </row>
    <row r="487" spans="2:7" x14ac:dyDescent="0.35">
      <c r="B487" s="50" t="s">
        <v>306</v>
      </c>
    </row>
    <row r="488" spans="2:7" x14ac:dyDescent="0.35">
      <c r="B488" s="50"/>
    </row>
    <row r="489" spans="2:7" x14ac:dyDescent="0.35">
      <c r="B489" s="50" t="s">
        <v>377</v>
      </c>
    </row>
    <row r="490" spans="2:7" ht="15" thickBot="1" x14ac:dyDescent="0.4"/>
    <row r="491" spans="2:7" ht="27" thickBot="1" x14ac:dyDescent="0.4">
      <c r="B491" s="55" t="s">
        <v>315</v>
      </c>
      <c r="C491" s="43" t="s">
        <v>316</v>
      </c>
      <c r="D491" s="43" t="s">
        <v>317</v>
      </c>
      <c r="E491" s="43" t="s">
        <v>318</v>
      </c>
      <c r="F491" s="43" t="s">
        <v>319</v>
      </c>
      <c r="G491" s="44" t="s">
        <v>320</v>
      </c>
    </row>
    <row r="492" spans="2:7" ht="15" thickBot="1" x14ac:dyDescent="0.4">
      <c r="B492" s="56" t="s">
        <v>321</v>
      </c>
      <c r="C492" s="3">
        <v>1</v>
      </c>
      <c r="D492" s="3">
        <v>1652024400.4000001</v>
      </c>
      <c r="E492" s="3">
        <v>1652024400.4000001</v>
      </c>
      <c r="F492" s="3">
        <v>2.89</v>
      </c>
      <c r="G492" s="45">
        <v>8.9899999999999994E-2</v>
      </c>
    </row>
    <row r="493" spans="2:7" ht="15" thickBot="1" x14ac:dyDescent="0.4">
      <c r="B493" s="56" t="s">
        <v>322</v>
      </c>
      <c r="C493" s="3">
        <v>488</v>
      </c>
      <c r="D493" s="3">
        <v>279163220729</v>
      </c>
      <c r="E493" s="3">
        <v>572055780.17999995</v>
      </c>
      <c r="F493" s="3"/>
      <c r="G493" s="45"/>
    </row>
    <row r="494" spans="2:7" x14ac:dyDescent="0.35">
      <c r="B494" s="53" t="s">
        <v>323</v>
      </c>
      <c r="C494" s="5">
        <v>489</v>
      </c>
      <c r="D494" s="5">
        <v>280815245129</v>
      </c>
      <c r="E494" s="5"/>
      <c r="F494" s="5"/>
      <c r="G494" s="42"/>
    </row>
    <row r="495" spans="2:7" ht="15" thickBot="1" x14ac:dyDescent="0.4"/>
    <row r="496" spans="2:7" ht="53" thickBot="1" x14ac:dyDescent="0.4">
      <c r="B496" s="55" t="s">
        <v>324</v>
      </c>
      <c r="C496" s="43" t="s">
        <v>325</v>
      </c>
      <c r="D496" s="43" t="s">
        <v>326</v>
      </c>
      <c r="E496" s="44" t="s">
        <v>378</v>
      </c>
    </row>
    <row r="497" spans="2:7" x14ac:dyDescent="0.35">
      <c r="B497" s="57">
        <v>5.8830000000000002E-3</v>
      </c>
      <c r="C497" s="5">
        <v>144.85939999999999</v>
      </c>
      <c r="D497" s="5">
        <v>23917.69</v>
      </c>
      <c r="E497" s="42">
        <v>16510.97</v>
      </c>
    </row>
    <row r="498" spans="2:7" ht="15" thickBot="1" x14ac:dyDescent="0.4"/>
    <row r="499" spans="2:7" ht="27" thickBot="1" x14ac:dyDescent="0.4">
      <c r="B499" s="55" t="s">
        <v>315</v>
      </c>
      <c r="C499" s="43" t="s">
        <v>316</v>
      </c>
      <c r="D499" s="43" t="s">
        <v>328</v>
      </c>
      <c r="E499" s="43" t="s">
        <v>318</v>
      </c>
      <c r="F499" s="43" t="s">
        <v>319</v>
      </c>
      <c r="G499" s="44" t="s">
        <v>320</v>
      </c>
    </row>
    <row r="500" spans="2:7" x14ac:dyDescent="0.35">
      <c r="B500" s="53" t="s">
        <v>397</v>
      </c>
      <c r="C500" s="5">
        <v>1</v>
      </c>
      <c r="D500" s="5">
        <v>1652024400</v>
      </c>
      <c r="E500" s="5">
        <v>1652024400</v>
      </c>
      <c r="F500" s="5">
        <v>2.89</v>
      </c>
      <c r="G500" s="42">
        <v>8.9899999999999994E-2</v>
      </c>
    </row>
    <row r="501" spans="2:7" x14ac:dyDescent="0.35">
      <c r="B501" s="51"/>
    </row>
    <row r="502" spans="2:7" x14ac:dyDescent="0.35">
      <c r="B502" s="51"/>
    </row>
    <row r="506" spans="2:7" x14ac:dyDescent="0.35">
      <c r="B506" s="50" t="s">
        <v>306</v>
      </c>
    </row>
    <row r="507" spans="2:7" x14ac:dyDescent="0.35">
      <c r="B507" s="50"/>
    </row>
    <row r="508" spans="2:7" x14ac:dyDescent="0.35">
      <c r="B508" s="50" t="s">
        <v>379</v>
      </c>
    </row>
    <row r="509" spans="2:7" ht="15" thickBot="1" x14ac:dyDescent="0.4"/>
    <row r="510" spans="2:7" ht="27" thickBot="1" x14ac:dyDescent="0.4">
      <c r="B510" s="55" t="s">
        <v>315</v>
      </c>
      <c r="C510" s="43" t="s">
        <v>316</v>
      </c>
      <c r="D510" s="43" t="s">
        <v>317</v>
      </c>
      <c r="E510" s="43" t="s">
        <v>318</v>
      </c>
      <c r="F510" s="43" t="s">
        <v>319</v>
      </c>
      <c r="G510" s="44" t="s">
        <v>320</v>
      </c>
    </row>
    <row r="511" spans="2:7" ht="15" thickBot="1" x14ac:dyDescent="0.4">
      <c r="B511" s="56" t="s">
        <v>321</v>
      </c>
      <c r="C511" s="3">
        <v>1</v>
      </c>
      <c r="D511" s="3">
        <v>470.75846999999999</v>
      </c>
      <c r="E511" s="3">
        <v>470.75846999999999</v>
      </c>
      <c r="F511" s="3">
        <v>3.13</v>
      </c>
      <c r="G511" s="45">
        <v>7.7399999999999997E-2</v>
      </c>
    </row>
    <row r="512" spans="2:7" ht="15" thickBot="1" x14ac:dyDescent="0.4">
      <c r="B512" s="56" t="s">
        <v>322</v>
      </c>
      <c r="C512" s="3">
        <v>488</v>
      </c>
      <c r="D512" s="3">
        <v>73375.153690000006</v>
      </c>
      <c r="E512" s="3">
        <v>150.35892000000001</v>
      </c>
      <c r="F512" s="3"/>
      <c r="G512" s="45"/>
    </row>
    <row r="513" spans="2:7" x14ac:dyDescent="0.35">
      <c r="B513" s="53" t="s">
        <v>323</v>
      </c>
      <c r="C513" s="5">
        <v>489</v>
      </c>
      <c r="D513" s="5">
        <v>73845.912160000007</v>
      </c>
      <c r="E513" s="5"/>
      <c r="F513" s="5"/>
      <c r="G513" s="42"/>
    </row>
    <row r="514" spans="2:7" ht="15" thickBot="1" x14ac:dyDescent="0.4"/>
    <row r="515" spans="2:7" ht="66" thickBot="1" x14ac:dyDescent="0.4">
      <c r="B515" s="55" t="s">
        <v>324</v>
      </c>
      <c r="C515" s="43" t="s">
        <v>325</v>
      </c>
      <c r="D515" s="43" t="s">
        <v>326</v>
      </c>
      <c r="E515" s="44" t="s">
        <v>380</v>
      </c>
    </row>
    <row r="516" spans="2:7" x14ac:dyDescent="0.35">
      <c r="B516" s="57">
        <v>6.3749999999999996E-3</v>
      </c>
      <c r="C516" s="5">
        <v>35.581780000000002</v>
      </c>
      <c r="D516" s="5">
        <v>12.262090000000001</v>
      </c>
      <c r="E516" s="42">
        <v>34.461709999999997</v>
      </c>
    </row>
    <row r="517" spans="2:7" ht="15" thickBot="1" x14ac:dyDescent="0.4"/>
    <row r="518" spans="2:7" ht="27" thickBot="1" x14ac:dyDescent="0.4">
      <c r="B518" s="55" t="s">
        <v>315</v>
      </c>
      <c r="C518" s="43" t="s">
        <v>316</v>
      </c>
      <c r="D518" s="43" t="s">
        <v>328</v>
      </c>
      <c r="E518" s="43" t="s">
        <v>318</v>
      </c>
      <c r="F518" s="43" t="s">
        <v>319</v>
      </c>
      <c r="G518" s="44" t="s">
        <v>320</v>
      </c>
    </row>
    <row r="519" spans="2:7" x14ac:dyDescent="0.35">
      <c r="B519" s="53" t="s">
        <v>397</v>
      </c>
      <c r="C519" s="5">
        <v>1</v>
      </c>
      <c r="D519" s="5">
        <v>470.7584683</v>
      </c>
      <c r="E519" s="5">
        <v>470.7584683</v>
      </c>
      <c r="F519" s="5">
        <v>3.13</v>
      </c>
      <c r="G519" s="42">
        <v>7.7399999999999997E-2</v>
      </c>
    </row>
    <row r="520" spans="2:7" x14ac:dyDescent="0.35">
      <c r="B520" s="51"/>
    </row>
    <row r="521" spans="2:7" x14ac:dyDescent="0.35">
      <c r="B521" s="51"/>
    </row>
    <row r="525" spans="2:7" x14ac:dyDescent="0.35">
      <c r="B525" s="50" t="s">
        <v>381</v>
      </c>
    </row>
    <row r="526" spans="2:7" ht="15" thickBot="1" x14ac:dyDescent="0.4"/>
    <row r="527" spans="2:7" ht="15" thickBot="1" x14ac:dyDescent="0.4">
      <c r="B527" s="58" t="s">
        <v>382</v>
      </c>
      <c r="C527" s="79" t="s">
        <v>398</v>
      </c>
      <c r="D527" s="80"/>
      <c r="E527" s="80"/>
      <c r="F527" s="80"/>
      <c r="G527" s="80"/>
    </row>
    <row r="528" spans="2:7" ht="15" thickBot="1" x14ac:dyDescent="0.4">
      <c r="B528" s="59" t="s">
        <v>383</v>
      </c>
      <c r="C528" s="81" t="s">
        <v>399</v>
      </c>
      <c r="D528" s="83" t="s">
        <v>387</v>
      </c>
      <c r="E528" s="84"/>
      <c r="F528" s="84"/>
      <c r="G528" s="84"/>
    </row>
    <row r="529" spans="2:7" ht="15" thickBot="1" x14ac:dyDescent="0.4">
      <c r="B529" s="59" t="s">
        <v>384</v>
      </c>
      <c r="C529" s="82"/>
      <c r="D529" s="48">
        <v>1</v>
      </c>
      <c r="E529" s="48">
        <v>2</v>
      </c>
      <c r="F529" s="48">
        <v>3</v>
      </c>
      <c r="G529" s="49" t="s">
        <v>34</v>
      </c>
    </row>
    <row r="530" spans="2:7" x14ac:dyDescent="0.35">
      <c r="B530" s="59" t="s">
        <v>385</v>
      </c>
      <c r="C530" s="85">
        <v>1</v>
      </c>
      <c r="D530" s="5">
        <v>35</v>
      </c>
      <c r="E530" s="5">
        <v>72</v>
      </c>
      <c r="F530" s="5">
        <v>133</v>
      </c>
      <c r="G530" s="42">
        <v>240</v>
      </c>
    </row>
    <row r="531" spans="2:7" x14ac:dyDescent="0.35">
      <c r="B531" s="59" t="s">
        <v>386</v>
      </c>
      <c r="C531" s="86"/>
      <c r="D531" s="5">
        <v>41.633000000000003</v>
      </c>
      <c r="E531" s="5">
        <v>74.938999999999993</v>
      </c>
      <c r="F531" s="5">
        <v>123.43</v>
      </c>
      <c r="G531" s="42"/>
    </row>
    <row r="532" spans="2:7" x14ac:dyDescent="0.35">
      <c r="B532" s="60"/>
      <c r="C532" s="86"/>
      <c r="D532" s="5">
        <v>7.14</v>
      </c>
      <c r="E532" s="5">
        <v>14.69</v>
      </c>
      <c r="F532" s="5">
        <v>27.14</v>
      </c>
      <c r="G532" s="42">
        <v>48.98</v>
      </c>
    </row>
    <row r="533" spans="2:7" x14ac:dyDescent="0.35">
      <c r="B533" s="60"/>
      <c r="C533" s="86"/>
      <c r="D533" s="5">
        <v>14.58</v>
      </c>
      <c r="E533" s="5">
        <v>30</v>
      </c>
      <c r="F533" s="5">
        <v>55.42</v>
      </c>
      <c r="G533" s="42"/>
    </row>
    <row r="534" spans="2:7" ht="15" thickBot="1" x14ac:dyDescent="0.4">
      <c r="B534" s="60"/>
      <c r="C534" s="87"/>
      <c r="D534" s="3">
        <v>41.18</v>
      </c>
      <c r="E534" s="3">
        <v>47.06</v>
      </c>
      <c r="F534" s="3">
        <v>52.78</v>
      </c>
      <c r="G534" s="45"/>
    </row>
    <row r="535" spans="2:7" x14ac:dyDescent="0.35">
      <c r="B535" s="60"/>
      <c r="C535" s="85">
        <v>2</v>
      </c>
      <c r="D535" s="5">
        <v>50</v>
      </c>
      <c r="E535" s="5">
        <v>81</v>
      </c>
      <c r="F535" s="5">
        <v>119</v>
      </c>
      <c r="G535" s="42">
        <v>250</v>
      </c>
    </row>
    <row r="536" spans="2:7" x14ac:dyDescent="0.35">
      <c r="B536" s="60"/>
      <c r="C536" s="86"/>
      <c r="D536" s="5">
        <v>43.366999999999997</v>
      </c>
      <c r="E536" s="5">
        <v>78.061000000000007</v>
      </c>
      <c r="F536" s="5">
        <v>128.57</v>
      </c>
      <c r="G536" s="42"/>
    </row>
    <row r="537" spans="2:7" x14ac:dyDescent="0.35">
      <c r="B537" s="60"/>
      <c r="C537" s="86"/>
      <c r="D537" s="5">
        <v>10.199999999999999</v>
      </c>
      <c r="E537" s="5">
        <v>16.53</v>
      </c>
      <c r="F537" s="5">
        <v>24.29</v>
      </c>
      <c r="G537" s="42">
        <v>51.02</v>
      </c>
    </row>
    <row r="538" spans="2:7" x14ac:dyDescent="0.35">
      <c r="B538" s="60"/>
      <c r="C538" s="86"/>
      <c r="D538" s="5">
        <v>20</v>
      </c>
      <c r="E538" s="5">
        <v>32.4</v>
      </c>
      <c r="F538" s="5">
        <v>47.6</v>
      </c>
      <c r="G538" s="42"/>
    </row>
    <row r="539" spans="2:7" ht="15" thickBot="1" x14ac:dyDescent="0.4">
      <c r="B539" s="60"/>
      <c r="C539" s="87"/>
      <c r="D539" s="3">
        <v>58.82</v>
      </c>
      <c r="E539" s="3">
        <v>52.94</v>
      </c>
      <c r="F539" s="3">
        <v>47.22</v>
      </c>
      <c r="G539" s="45"/>
    </row>
    <row r="540" spans="2:7" x14ac:dyDescent="0.35">
      <c r="B540" s="60"/>
      <c r="C540" s="74" t="s">
        <v>34</v>
      </c>
      <c r="D540" s="5">
        <v>85</v>
      </c>
      <c r="E540" s="5">
        <v>153</v>
      </c>
      <c r="F540" s="5">
        <v>252</v>
      </c>
      <c r="G540" s="42">
        <v>490</v>
      </c>
    </row>
    <row r="541" spans="2:7" x14ac:dyDescent="0.35">
      <c r="B541" s="60"/>
      <c r="C541" s="75"/>
      <c r="D541" s="5">
        <v>17.350000000000001</v>
      </c>
      <c r="E541" s="5">
        <v>31.22</v>
      </c>
      <c r="F541" s="5">
        <v>51.43</v>
      </c>
      <c r="G541" s="42">
        <v>100</v>
      </c>
    </row>
    <row r="542" spans="2:7" x14ac:dyDescent="0.35">
      <c r="B542" s="60"/>
      <c r="C542" s="76"/>
      <c r="D542" s="76"/>
      <c r="E542" s="76"/>
      <c r="F542" s="76"/>
      <c r="G542" s="76"/>
    </row>
    <row r="544" spans="2:7" x14ac:dyDescent="0.35">
      <c r="B544" s="50" t="s">
        <v>400</v>
      </c>
    </row>
    <row r="545" spans="2:5" ht="15" thickBot="1" x14ac:dyDescent="0.4"/>
    <row r="546" spans="2:5" ht="15" thickBot="1" x14ac:dyDescent="0.4">
      <c r="B546" s="55" t="s">
        <v>388</v>
      </c>
      <c r="C546" s="43" t="s">
        <v>316</v>
      </c>
      <c r="D546" s="43" t="s">
        <v>389</v>
      </c>
      <c r="E546" s="44" t="s">
        <v>390</v>
      </c>
    </row>
    <row r="547" spans="2:5" ht="15" thickBot="1" x14ac:dyDescent="0.4">
      <c r="B547" s="56" t="s">
        <v>391</v>
      </c>
      <c r="C547" s="3">
        <v>2</v>
      </c>
      <c r="D547" s="3">
        <v>3.7517</v>
      </c>
      <c r="E547" s="45">
        <v>0.1532</v>
      </c>
    </row>
    <row r="548" spans="2:5" ht="15" thickBot="1" x14ac:dyDescent="0.4">
      <c r="B548" s="56" t="s">
        <v>392</v>
      </c>
      <c r="C548" s="3">
        <v>2</v>
      </c>
      <c r="D548" s="3">
        <v>3.7648000000000001</v>
      </c>
      <c r="E548" s="45">
        <v>0.1522</v>
      </c>
    </row>
    <row r="549" spans="2:5" ht="15" thickBot="1" x14ac:dyDescent="0.4">
      <c r="B549" s="56" t="s">
        <v>393</v>
      </c>
      <c r="C549" s="3">
        <v>1</v>
      </c>
      <c r="D549" s="3">
        <v>3.7437999999999998</v>
      </c>
      <c r="E549" s="45">
        <v>5.2999999999999999E-2</v>
      </c>
    </row>
    <row r="550" spans="2:5" ht="15" thickBot="1" x14ac:dyDescent="0.4">
      <c r="B550" s="56" t="s">
        <v>394</v>
      </c>
      <c r="C550" s="3"/>
      <c r="D550" s="3">
        <v>8.7499999999999994E-2</v>
      </c>
      <c r="E550" s="45"/>
    </row>
    <row r="551" spans="2:5" ht="15" thickBot="1" x14ac:dyDescent="0.4">
      <c r="B551" s="56" t="s">
        <v>395</v>
      </c>
      <c r="C551" s="3"/>
      <c r="D551" s="3">
        <v>8.72E-2</v>
      </c>
      <c r="E551" s="45"/>
    </row>
    <row r="552" spans="2:5" x14ac:dyDescent="0.35">
      <c r="B552" s="53" t="s">
        <v>396</v>
      </c>
      <c r="C552" s="5"/>
      <c r="D552" s="5">
        <v>8.7499999999999994E-2</v>
      </c>
      <c r="E552" s="42"/>
    </row>
    <row r="554" spans="2:5" x14ac:dyDescent="0.35">
      <c r="B554" s="50" t="s">
        <v>401</v>
      </c>
    </row>
  </sheetData>
  <mergeCells count="8">
    <mergeCell ref="C540:C541"/>
    <mergeCell ref="C542:G542"/>
    <mergeCell ref="B3:D3"/>
    <mergeCell ref="C527:G527"/>
    <mergeCell ref="C528:C529"/>
    <mergeCell ref="D528:G528"/>
    <mergeCell ref="C530:C534"/>
    <mergeCell ref="C535:C53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6AC0B-0CD8-4B7F-99A6-E57A0C457310}">
  <dimension ref="A1:J125"/>
  <sheetViews>
    <sheetView topLeftCell="A59" workbookViewId="0">
      <selection activeCell="C15" sqref="C15"/>
    </sheetView>
  </sheetViews>
  <sheetFormatPr defaultRowHeight="14.5" x14ac:dyDescent="0.35"/>
  <cols>
    <col min="2" max="2" width="43.1796875" style="14" bestFit="1" customWidth="1"/>
    <col min="3" max="3" width="107.54296875" style="30" bestFit="1" customWidth="1"/>
    <col min="4" max="4" width="17.26953125" bestFit="1" customWidth="1"/>
    <col min="6" max="6" width="41.54296875" bestFit="1" customWidth="1"/>
  </cols>
  <sheetData>
    <row r="1" spans="1:4" ht="16" x14ac:dyDescent="0.4">
      <c r="A1" s="11" t="s">
        <v>102</v>
      </c>
      <c r="B1" s="12" t="s">
        <v>103</v>
      </c>
      <c r="C1" s="11" t="s">
        <v>104</v>
      </c>
      <c r="D1" s="13"/>
    </row>
    <row r="2" spans="1:4" s="14" customFormat="1" x14ac:dyDescent="0.35">
      <c r="A2" s="14">
        <v>1</v>
      </c>
      <c r="B2" s="15" t="s">
        <v>105</v>
      </c>
      <c r="C2" s="16" t="s">
        <v>105</v>
      </c>
      <c r="D2" s="89" t="s">
        <v>106</v>
      </c>
    </row>
    <row r="3" spans="1:4" s="14" customFormat="1" x14ac:dyDescent="0.35">
      <c r="A3" s="14">
        <v>2</v>
      </c>
      <c r="B3" s="15" t="s">
        <v>0</v>
      </c>
      <c r="C3" s="16" t="s">
        <v>0</v>
      </c>
      <c r="D3" s="89"/>
    </row>
    <row r="4" spans="1:4" s="14" customFormat="1" x14ac:dyDescent="0.35">
      <c r="A4" s="14">
        <v>3</v>
      </c>
      <c r="B4" s="15" t="s">
        <v>1</v>
      </c>
      <c r="C4" s="16" t="s">
        <v>1</v>
      </c>
      <c r="D4" s="89"/>
    </row>
    <row r="5" spans="1:4" s="14" customFormat="1" x14ac:dyDescent="0.35">
      <c r="A5" s="14">
        <v>4</v>
      </c>
      <c r="B5" s="15" t="s">
        <v>2</v>
      </c>
      <c r="C5" s="16" t="s">
        <v>2</v>
      </c>
      <c r="D5" s="89"/>
    </row>
    <row r="6" spans="1:4" s="14" customFormat="1" x14ac:dyDescent="0.35">
      <c r="A6" s="14">
        <v>5</v>
      </c>
      <c r="B6" s="15" t="s">
        <v>3</v>
      </c>
      <c r="C6" s="16" t="s">
        <v>3</v>
      </c>
      <c r="D6" s="89"/>
    </row>
    <row r="7" spans="1:4" s="14" customFormat="1" x14ac:dyDescent="0.35">
      <c r="A7" s="14">
        <v>6</v>
      </c>
      <c r="B7" s="15" t="s">
        <v>4</v>
      </c>
      <c r="C7" s="16" t="s">
        <v>4</v>
      </c>
      <c r="D7" s="89"/>
    </row>
    <row r="8" spans="1:4" s="14" customFormat="1" x14ac:dyDescent="0.35">
      <c r="A8" s="14">
        <v>7</v>
      </c>
      <c r="B8" s="15" t="s">
        <v>5</v>
      </c>
      <c r="C8" s="16" t="s">
        <v>5</v>
      </c>
      <c r="D8" s="89"/>
    </row>
    <row r="9" spans="1:4" s="14" customFormat="1" x14ac:dyDescent="0.35">
      <c r="A9" s="14">
        <v>8</v>
      </c>
      <c r="B9" s="15" t="s">
        <v>6</v>
      </c>
      <c r="C9" s="16" t="s">
        <v>6</v>
      </c>
      <c r="D9" s="89"/>
    </row>
    <row r="10" spans="1:4" s="14" customFormat="1" x14ac:dyDescent="0.35">
      <c r="A10" s="14">
        <v>9</v>
      </c>
      <c r="B10" s="15" t="s">
        <v>7</v>
      </c>
      <c r="C10" s="16" t="s">
        <v>7</v>
      </c>
      <c r="D10" s="89"/>
    </row>
    <row r="11" spans="1:4" s="14" customFormat="1" x14ac:dyDescent="0.35">
      <c r="A11" s="14">
        <v>10</v>
      </c>
      <c r="B11" s="17" t="s">
        <v>107</v>
      </c>
      <c r="C11" s="17" t="s">
        <v>107</v>
      </c>
      <c r="D11" s="18"/>
    </row>
    <row r="12" spans="1:4" s="14" customFormat="1" x14ac:dyDescent="0.35">
      <c r="A12" s="14">
        <v>11</v>
      </c>
      <c r="B12" s="17" t="s">
        <v>108</v>
      </c>
      <c r="C12" s="17" t="s">
        <v>108</v>
      </c>
      <c r="D12" s="18"/>
    </row>
    <row r="13" spans="1:4" s="14" customFormat="1" x14ac:dyDescent="0.35">
      <c r="A13" s="14">
        <v>12</v>
      </c>
      <c r="B13" s="17" t="s">
        <v>109</v>
      </c>
      <c r="C13" s="17" t="s">
        <v>109</v>
      </c>
      <c r="D13" s="18"/>
    </row>
    <row r="14" spans="1:4" s="14" customFormat="1" x14ac:dyDescent="0.35">
      <c r="A14" s="14">
        <v>13</v>
      </c>
      <c r="B14" s="17" t="s">
        <v>110</v>
      </c>
      <c r="C14" s="17" t="s">
        <v>110</v>
      </c>
      <c r="D14" s="18"/>
    </row>
    <row r="15" spans="1:4" s="14" customFormat="1" x14ac:dyDescent="0.35">
      <c r="A15" s="14">
        <v>14</v>
      </c>
      <c r="B15" s="17" t="s">
        <v>111</v>
      </c>
      <c r="C15" s="17" t="s">
        <v>111</v>
      </c>
      <c r="D15" s="18"/>
    </row>
    <row r="16" spans="1:4" s="14" customFormat="1" x14ac:dyDescent="0.35">
      <c r="A16" s="14">
        <v>15</v>
      </c>
      <c r="B16" s="17" t="s">
        <v>112</v>
      </c>
      <c r="C16" s="17" t="s">
        <v>112</v>
      </c>
      <c r="D16" s="18"/>
    </row>
    <row r="17" spans="1:4" s="14" customFormat="1" x14ac:dyDescent="0.35">
      <c r="A17" s="14">
        <v>16</v>
      </c>
      <c r="B17" s="17" t="s">
        <v>113</v>
      </c>
      <c r="C17" s="17" t="s">
        <v>113</v>
      </c>
      <c r="D17" s="18"/>
    </row>
    <row r="18" spans="1:4" s="14" customFormat="1" x14ac:dyDescent="0.35">
      <c r="A18" s="14">
        <v>17</v>
      </c>
      <c r="B18" s="17" t="s">
        <v>114</v>
      </c>
      <c r="C18" s="17" t="s">
        <v>114</v>
      </c>
      <c r="D18" s="18"/>
    </row>
    <row r="19" spans="1:4" x14ac:dyDescent="0.35">
      <c r="A19" s="14">
        <v>18</v>
      </c>
      <c r="B19" t="s">
        <v>115</v>
      </c>
      <c r="C19" s="19" t="s">
        <v>8</v>
      </c>
      <c r="D19" s="88" t="s">
        <v>116</v>
      </c>
    </row>
    <row r="20" spans="1:4" x14ac:dyDescent="0.35">
      <c r="A20" s="14">
        <v>19</v>
      </c>
      <c r="B20" t="s">
        <v>117</v>
      </c>
      <c r="C20" s="19" t="s">
        <v>9</v>
      </c>
      <c r="D20" s="88"/>
    </row>
    <row r="21" spans="1:4" x14ac:dyDescent="0.35">
      <c r="A21" s="14">
        <v>20</v>
      </c>
      <c r="B21" t="s">
        <v>118</v>
      </c>
      <c r="C21" s="19" t="s">
        <v>10</v>
      </c>
      <c r="D21" s="88"/>
    </row>
    <row r="22" spans="1:4" x14ac:dyDescent="0.35">
      <c r="A22" s="14">
        <v>21</v>
      </c>
      <c r="B22" t="s">
        <v>119</v>
      </c>
      <c r="C22" s="19" t="s">
        <v>11</v>
      </c>
      <c r="D22" s="88"/>
    </row>
    <row r="23" spans="1:4" x14ac:dyDescent="0.35">
      <c r="A23" s="14">
        <v>22</v>
      </c>
      <c r="B23" t="s">
        <v>120</v>
      </c>
      <c r="C23" s="19" t="s">
        <v>12</v>
      </c>
      <c r="D23" s="88"/>
    </row>
    <row r="24" spans="1:4" x14ac:dyDescent="0.35">
      <c r="A24" s="14">
        <v>23</v>
      </c>
      <c r="B24" t="s">
        <v>121</v>
      </c>
      <c r="C24" s="19" t="s">
        <v>13</v>
      </c>
      <c r="D24" s="88"/>
    </row>
    <row r="25" spans="1:4" x14ac:dyDescent="0.35">
      <c r="A25" s="14">
        <v>24</v>
      </c>
      <c r="B25" t="s">
        <v>122</v>
      </c>
      <c r="C25" s="20" t="s">
        <v>14</v>
      </c>
      <c r="D25" s="88"/>
    </row>
    <row r="26" spans="1:4" x14ac:dyDescent="0.35">
      <c r="A26" s="14">
        <v>25</v>
      </c>
      <c r="B26" t="s">
        <v>123</v>
      </c>
      <c r="C26" s="20" t="s">
        <v>15</v>
      </c>
      <c r="D26" s="88"/>
    </row>
    <row r="27" spans="1:4" x14ac:dyDescent="0.35">
      <c r="A27" s="14">
        <v>26</v>
      </c>
      <c r="B27" t="s">
        <v>124</v>
      </c>
      <c r="C27" s="20" t="s">
        <v>16</v>
      </c>
      <c r="D27" s="88"/>
    </row>
    <row r="28" spans="1:4" x14ac:dyDescent="0.35">
      <c r="A28" s="14">
        <v>27</v>
      </c>
      <c r="B28" t="s">
        <v>125</v>
      </c>
      <c r="C28" s="20" t="s">
        <v>17</v>
      </c>
      <c r="D28" s="88"/>
    </row>
    <row r="29" spans="1:4" x14ac:dyDescent="0.35">
      <c r="A29" s="14">
        <v>28</v>
      </c>
      <c r="B29" t="s">
        <v>126</v>
      </c>
      <c r="C29" s="20" t="s">
        <v>18</v>
      </c>
      <c r="D29" s="88"/>
    </row>
    <row r="30" spans="1:4" x14ac:dyDescent="0.35">
      <c r="A30" s="14">
        <v>29</v>
      </c>
      <c r="B30" t="s">
        <v>127</v>
      </c>
      <c r="C30" s="20" t="s">
        <v>19</v>
      </c>
      <c r="D30" s="88"/>
    </row>
    <row r="31" spans="1:4" x14ac:dyDescent="0.35">
      <c r="A31" s="14">
        <v>30</v>
      </c>
      <c r="B31" t="s">
        <v>128</v>
      </c>
      <c r="C31" s="20" t="s">
        <v>20</v>
      </c>
      <c r="D31" s="88"/>
    </row>
    <row r="32" spans="1:4" x14ac:dyDescent="0.35">
      <c r="A32" s="14">
        <v>31</v>
      </c>
      <c r="B32" t="s">
        <v>129</v>
      </c>
      <c r="C32" s="20" t="s">
        <v>21</v>
      </c>
      <c r="D32" s="88"/>
    </row>
    <row r="33" spans="1:10" x14ac:dyDescent="0.35">
      <c r="A33" s="14">
        <v>32</v>
      </c>
      <c r="B33" t="s">
        <v>130</v>
      </c>
      <c r="C33" s="20" t="s">
        <v>22</v>
      </c>
      <c r="D33" s="88"/>
    </row>
    <row r="34" spans="1:10" x14ac:dyDescent="0.35">
      <c r="A34" s="14">
        <v>33</v>
      </c>
      <c r="B34" t="s">
        <v>131</v>
      </c>
      <c r="C34" s="20" t="s">
        <v>23</v>
      </c>
      <c r="D34" s="88"/>
    </row>
    <row r="35" spans="1:10" x14ac:dyDescent="0.35">
      <c r="A35" s="14">
        <v>34</v>
      </c>
      <c r="B35" t="s">
        <v>132</v>
      </c>
      <c r="C35" s="20" t="s">
        <v>25</v>
      </c>
      <c r="D35" s="88"/>
    </row>
    <row r="36" spans="1:10" x14ac:dyDescent="0.35">
      <c r="A36" s="14">
        <v>35</v>
      </c>
      <c r="B36" s="21" t="s">
        <v>24</v>
      </c>
      <c r="C36" s="20" t="s">
        <v>133</v>
      </c>
      <c r="D36" s="88"/>
    </row>
    <row r="37" spans="1:10" x14ac:dyDescent="0.35">
      <c r="A37" s="14">
        <v>36</v>
      </c>
      <c r="B37" s="22" t="s">
        <v>134</v>
      </c>
      <c r="C37" s="20" t="s">
        <v>26</v>
      </c>
      <c r="D37" s="88"/>
    </row>
    <row r="38" spans="1:10" x14ac:dyDescent="0.35">
      <c r="A38" s="14">
        <v>37</v>
      </c>
      <c r="B38" s="23" t="s">
        <v>47</v>
      </c>
      <c r="C38" s="24" t="s">
        <v>135</v>
      </c>
      <c r="D38" s="88" t="s">
        <v>136</v>
      </c>
      <c r="F38" t="str">
        <f>G38&amp;" "&amp;H38&amp;" 2023 CT"</f>
        <v>COI Overall 2023 CT</v>
      </c>
      <c r="G38" t="s">
        <v>270</v>
      </c>
      <c r="H38" t="s">
        <v>271</v>
      </c>
      <c r="J38" t="s">
        <v>266</v>
      </c>
    </row>
    <row r="39" spans="1:10" x14ac:dyDescent="0.35">
      <c r="A39" s="14">
        <v>38</v>
      </c>
      <c r="B39" s="23" t="s">
        <v>48</v>
      </c>
      <c r="C39" s="24" t="s">
        <v>137</v>
      </c>
      <c r="D39" s="88"/>
      <c r="F39" t="str">
        <f t="shared" ref="F39:F55" si="0">G39&amp;" "&amp;H39&amp;" 2023 CT"</f>
        <v>COI Education Domain 2023 CT</v>
      </c>
      <c r="G39" t="s">
        <v>270</v>
      </c>
      <c r="H39" t="s">
        <v>272</v>
      </c>
      <c r="J39" t="s">
        <v>267</v>
      </c>
    </row>
    <row r="40" spans="1:10" x14ac:dyDescent="0.35">
      <c r="A40" s="14">
        <v>39</v>
      </c>
      <c r="B40" s="23" t="s">
        <v>49</v>
      </c>
      <c r="C40" s="24" t="s">
        <v>138</v>
      </c>
      <c r="D40" s="88"/>
      <c r="F40" t="str">
        <f t="shared" si="0"/>
        <v>COI Health &amp; Environment Domain' 2023 CT</v>
      </c>
      <c r="G40" t="s">
        <v>270</v>
      </c>
      <c r="H40" t="s">
        <v>273</v>
      </c>
      <c r="J40" t="s">
        <v>268</v>
      </c>
    </row>
    <row r="41" spans="1:10" x14ac:dyDescent="0.35">
      <c r="A41" s="14">
        <v>40</v>
      </c>
      <c r="B41" s="23" t="s">
        <v>50</v>
      </c>
      <c r="C41" s="24" t="s">
        <v>139</v>
      </c>
      <c r="D41" s="88"/>
      <c r="F41" t="str">
        <f t="shared" si="0"/>
        <v>COI Social &amp; Economic Domain 2023 CT</v>
      </c>
      <c r="G41" t="s">
        <v>270</v>
      </c>
      <c r="H41" t="s">
        <v>274</v>
      </c>
      <c r="J41" t="s">
        <v>269</v>
      </c>
    </row>
    <row r="42" spans="1:10" x14ac:dyDescent="0.35">
      <c r="A42" s="14">
        <v>41</v>
      </c>
      <c r="B42" s="23" t="s">
        <v>51</v>
      </c>
      <c r="C42" s="24" t="s">
        <v>140</v>
      </c>
      <c r="D42" s="88"/>
      <c r="F42" t="str">
        <f t="shared" si="0"/>
        <v>COI Early Childhood Education Subdomain 2023 CT</v>
      </c>
      <c r="G42" t="s">
        <v>270</v>
      </c>
      <c r="H42" t="str">
        <f>PROPER(J42)</f>
        <v>Early Childhood Education Subdomain</v>
      </c>
      <c r="J42" t="s">
        <v>275</v>
      </c>
    </row>
    <row r="43" spans="1:10" x14ac:dyDescent="0.35">
      <c r="A43" s="14">
        <v>42</v>
      </c>
      <c r="B43" s="23" t="s">
        <v>52</v>
      </c>
      <c r="C43" s="24" t="s">
        <v>141</v>
      </c>
      <c r="D43" s="88"/>
      <c r="F43" t="str">
        <f t="shared" si="0"/>
        <v>COI Elementary Education Subdomain 2023 CT</v>
      </c>
      <c r="G43" t="s">
        <v>270</v>
      </c>
      <c r="H43" t="str">
        <f t="shared" ref="H43:H55" si="1">PROPER(J43)</f>
        <v>Elementary Education Subdomain</v>
      </c>
      <c r="J43" t="s">
        <v>276</v>
      </c>
    </row>
    <row r="44" spans="1:10" x14ac:dyDescent="0.35">
      <c r="A44" s="14">
        <v>43</v>
      </c>
      <c r="B44" s="23" t="s">
        <v>53</v>
      </c>
      <c r="C44" s="24" t="s">
        <v>142</v>
      </c>
      <c r="D44" s="88"/>
      <c r="F44" t="str">
        <f t="shared" si="0"/>
        <v>COI Educational Resources Subdomain 2023 CT</v>
      </c>
      <c r="G44" t="s">
        <v>270</v>
      </c>
      <c r="H44" t="str">
        <f t="shared" si="1"/>
        <v>Educational Resources Subdomain</v>
      </c>
      <c r="J44" t="s">
        <v>277</v>
      </c>
    </row>
    <row r="45" spans="1:10" x14ac:dyDescent="0.35">
      <c r="A45" s="14">
        <v>44</v>
      </c>
      <c r="B45" s="23" t="s">
        <v>54</v>
      </c>
      <c r="C45" s="24" t="s">
        <v>143</v>
      </c>
      <c r="D45" s="88"/>
      <c r="F45" t="str">
        <f t="shared" si="0"/>
        <v>COI Secondary And Post-Secondary Education Subdomain 2023 CT</v>
      </c>
      <c r="G45" t="s">
        <v>270</v>
      </c>
      <c r="H45" t="str">
        <f t="shared" si="1"/>
        <v>Secondary And Post-Secondary Education Subdomain</v>
      </c>
      <c r="J45" t="s">
        <v>278</v>
      </c>
    </row>
    <row r="46" spans="1:10" x14ac:dyDescent="0.35">
      <c r="A46" s="14">
        <v>45</v>
      </c>
      <c r="B46" s="23" t="s">
        <v>55</v>
      </c>
      <c r="C46" s="24" t="s">
        <v>144</v>
      </c>
      <c r="D46" s="88"/>
      <c r="F46" t="str">
        <f t="shared" si="0"/>
        <v>COI Pollution Subdomain 2023 CT</v>
      </c>
      <c r="G46" t="s">
        <v>270</v>
      </c>
      <c r="H46" t="str">
        <f t="shared" si="1"/>
        <v>Pollution Subdomain</v>
      </c>
      <c r="J46" t="s">
        <v>279</v>
      </c>
    </row>
    <row r="47" spans="1:10" x14ac:dyDescent="0.35">
      <c r="A47" s="14">
        <v>46</v>
      </c>
      <c r="B47" s="23" t="s">
        <v>56</v>
      </c>
      <c r="C47" s="24" t="s">
        <v>145</v>
      </c>
      <c r="D47" s="88"/>
      <c r="F47" t="str">
        <f t="shared" si="0"/>
        <v>COI Health Resources Subdomain 2023 CT</v>
      </c>
      <c r="G47" t="s">
        <v>270</v>
      </c>
      <c r="H47" t="str">
        <f t="shared" si="1"/>
        <v>Health Resources Subdomain</v>
      </c>
      <c r="J47" t="s">
        <v>280</v>
      </c>
    </row>
    <row r="48" spans="1:10" x14ac:dyDescent="0.35">
      <c r="A48" s="14">
        <v>47</v>
      </c>
      <c r="B48" s="23" t="s">
        <v>57</v>
      </c>
      <c r="C48" s="24" t="s">
        <v>146</v>
      </c>
      <c r="D48" s="88"/>
      <c r="F48" t="str">
        <f t="shared" si="0"/>
        <v>COI Safety-Related Resources Subdomain 2023 CT</v>
      </c>
      <c r="G48" t="s">
        <v>270</v>
      </c>
      <c r="H48" t="str">
        <f t="shared" si="1"/>
        <v>Safety-Related Resources Subdomain</v>
      </c>
      <c r="J48" t="s">
        <v>281</v>
      </c>
    </row>
    <row r="49" spans="1:10" x14ac:dyDescent="0.35">
      <c r="A49" s="14">
        <v>48</v>
      </c>
      <c r="B49" s="23" t="s">
        <v>58</v>
      </c>
      <c r="C49" s="24" t="s">
        <v>147</v>
      </c>
      <c r="D49" s="88"/>
      <c r="F49" t="str">
        <f t="shared" si="0"/>
        <v>COI Healthy Environments Subdomain 2023 CT</v>
      </c>
      <c r="G49" t="s">
        <v>270</v>
      </c>
      <c r="H49" t="str">
        <f t="shared" si="1"/>
        <v>Healthy Environments Subdomain</v>
      </c>
      <c r="J49" t="s">
        <v>282</v>
      </c>
    </row>
    <row r="50" spans="1:10" x14ac:dyDescent="0.35">
      <c r="A50" s="14">
        <v>49</v>
      </c>
      <c r="B50" s="23" t="s">
        <v>59</v>
      </c>
      <c r="C50" s="24" t="s">
        <v>148</v>
      </c>
      <c r="D50" s="88"/>
      <c r="F50" t="str">
        <f t="shared" si="0"/>
        <v>COI Concentrated Socio-Economic Inequity Subdomain 2023 CT</v>
      </c>
      <c r="G50" t="s">
        <v>270</v>
      </c>
      <c r="H50" t="str">
        <f t="shared" si="1"/>
        <v>Concentrated Socio-Economic Inequity Subdomain</v>
      </c>
      <c r="J50" t="s">
        <v>283</v>
      </c>
    </row>
    <row r="51" spans="1:10" x14ac:dyDescent="0.35">
      <c r="A51" s="14">
        <v>50</v>
      </c>
      <c r="B51" s="23" t="s">
        <v>60</v>
      </c>
      <c r="C51" s="24" t="s">
        <v>149</v>
      </c>
      <c r="D51" s="88"/>
      <c r="F51" t="str">
        <f t="shared" si="0"/>
        <v>COI Employment Subdomain 2023 CT</v>
      </c>
      <c r="G51" t="s">
        <v>270</v>
      </c>
      <c r="H51" t="str">
        <f t="shared" si="1"/>
        <v>Employment Subdomain</v>
      </c>
      <c r="J51" t="s">
        <v>284</v>
      </c>
    </row>
    <row r="52" spans="1:10" x14ac:dyDescent="0.35">
      <c r="A52" s="14">
        <v>51</v>
      </c>
      <c r="B52" s="23" t="s">
        <v>61</v>
      </c>
      <c r="C52" s="24" t="s">
        <v>150</v>
      </c>
      <c r="D52" s="88"/>
      <c r="F52" t="str">
        <f t="shared" si="0"/>
        <v>COI Economic Resources Subdomain 2023 CT</v>
      </c>
      <c r="G52" t="s">
        <v>270</v>
      </c>
      <c r="H52" t="str">
        <f t="shared" si="1"/>
        <v>Economic Resources Subdomain</v>
      </c>
      <c r="J52" t="s">
        <v>285</v>
      </c>
    </row>
    <row r="53" spans="1:10" x14ac:dyDescent="0.35">
      <c r="A53" s="14">
        <v>52</v>
      </c>
      <c r="B53" s="23" t="s">
        <v>62</v>
      </c>
      <c r="C53" s="24" t="s">
        <v>151</v>
      </c>
      <c r="D53" s="88"/>
      <c r="F53" t="str">
        <f t="shared" si="0"/>
        <v>COI Housing Resources Subdomain 2023 CT</v>
      </c>
      <c r="G53" t="s">
        <v>270</v>
      </c>
      <c r="H53" t="str">
        <f t="shared" si="1"/>
        <v>Housing Resources Subdomain</v>
      </c>
      <c r="J53" t="s">
        <v>286</v>
      </c>
    </row>
    <row r="54" spans="1:10" x14ac:dyDescent="0.35">
      <c r="A54" s="14">
        <v>53</v>
      </c>
      <c r="B54" s="23" t="s">
        <v>63</v>
      </c>
      <c r="C54" s="24" t="s">
        <v>152</v>
      </c>
      <c r="D54" s="88"/>
      <c r="F54" t="str">
        <f t="shared" si="0"/>
        <v>COI Social Resources Subdomain 2023 CT</v>
      </c>
      <c r="G54" t="s">
        <v>270</v>
      </c>
      <c r="H54" t="str">
        <f t="shared" si="1"/>
        <v>Social Resources Subdomain</v>
      </c>
      <c r="J54" t="s">
        <v>287</v>
      </c>
    </row>
    <row r="55" spans="1:10" x14ac:dyDescent="0.35">
      <c r="A55" s="14">
        <v>54</v>
      </c>
      <c r="B55" s="23" t="s">
        <v>64</v>
      </c>
      <c r="C55" s="24" t="s">
        <v>153</v>
      </c>
      <c r="D55" s="88"/>
      <c r="F55" t="str">
        <f t="shared" si="0"/>
        <v>COI Wealth Subdomain 2023 CT</v>
      </c>
      <c r="G55" t="s">
        <v>270</v>
      </c>
      <c r="H55" t="str">
        <f t="shared" si="1"/>
        <v>Wealth Subdomain</v>
      </c>
      <c r="J55" t="s">
        <v>288</v>
      </c>
    </row>
    <row r="56" spans="1:10" x14ac:dyDescent="0.35">
      <c r="A56" s="14">
        <v>55</v>
      </c>
      <c r="B56" s="23" t="s">
        <v>154</v>
      </c>
      <c r="C56" s="23" t="s">
        <v>154</v>
      </c>
      <c r="D56" s="13"/>
    </row>
    <row r="57" spans="1:10" x14ac:dyDescent="0.35">
      <c r="A57" s="14">
        <v>56</v>
      </c>
      <c r="B57" s="23" t="s">
        <v>155</v>
      </c>
      <c r="C57" s="23" t="s">
        <v>155</v>
      </c>
      <c r="D57" s="13"/>
    </row>
    <row r="58" spans="1:10" x14ac:dyDescent="0.35">
      <c r="A58" s="14">
        <v>57</v>
      </c>
      <c r="B58" s="23" t="s">
        <v>72</v>
      </c>
      <c r="C58" s="25" t="s">
        <v>156</v>
      </c>
      <c r="D58" s="88" t="s">
        <v>157</v>
      </c>
    </row>
    <row r="59" spans="1:10" x14ac:dyDescent="0.35">
      <c r="A59" s="14">
        <v>58</v>
      </c>
      <c r="B59" s="23" t="s">
        <v>73</v>
      </c>
      <c r="C59" s="25" t="s">
        <v>158</v>
      </c>
      <c r="D59" s="88"/>
    </row>
    <row r="60" spans="1:10" x14ac:dyDescent="0.35">
      <c r="A60" s="14">
        <v>59</v>
      </c>
      <c r="B60" s="23" t="s">
        <v>74</v>
      </c>
      <c r="C60" s="25" t="s">
        <v>159</v>
      </c>
      <c r="D60" s="88"/>
    </row>
    <row r="61" spans="1:10" x14ac:dyDescent="0.35">
      <c r="A61" s="14">
        <v>60</v>
      </c>
      <c r="B61" s="23" t="s">
        <v>75</v>
      </c>
      <c r="C61" s="25" t="s">
        <v>160</v>
      </c>
      <c r="D61" s="88"/>
    </row>
    <row r="62" spans="1:10" x14ac:dyDescent="0.35">
      <c r="A62" s="14">
        <v>61</v>
      </c>
      <c r="B62" s="23" t="s">
        <v>76</v>
      </c>
      <c r="C62" s="25" t="s">
        <v>161</v>
      </c>
      <c r="D62" s="88"/>
    </row>
    <row r="63" spans="1:10" x14ac:dyDescent="0.35">
      <c r="A63" s="14">
        <v>62</v>
      </c>
      <c r="B63" s="23" t="s">
        <v>77</v>
      </c>
      <c r="C63" s="25" t="s">
        <v>162</v>
      </c>
      <c r="D63" s="88"/>
    </row>
    <row r="64" spans="1:10" x14ac:dyDescent="0.35">
      <c r="A64" s="14">
        <v>63</v>
      </c>
      <c r="B64" s="23" t="s">
        <v>78</v>
      </c>
      <c r="C64" s="25" t="s">
        <v>163</v>
      </c>
      <c r="D64" s="88"/>
    </row>
    <row r="65" spans="1:4" x14ac:dyDescent="0.35">
      <c r="A65" s="14">
        <v>64</v>
      </c>
      <c r="B65" s="23" t="s">
        <v>79</v>
      </c>
      <c r="C65" s="25" t="s">
        <v>164</v>
      </c>
      <c r="D65" s="88"/>
    </row>
    <row r="66" spans="1:4" x14ac:dyDescent="0.35">
      <c r="A66" s="14">
        <v>65</v>
      </c>
      <c r="B66" s="23" t="s">
        <v>80</v>
      </c>
      <c r="C66" s="25" t="s">
        <v>165</v>
      </c>
      <c r="D66" s="88"/>
    </row>
    <row r="67" spans="1:4" x14ac:dyDescent="0.35">
      <c r="A67" s="14">
        <v>66</v>
      </c>
      <c r="B67" s="23" t="s">
        <v>166</v>
      </c>
      <c r="C67" s="23" t="s">
        <v>167</v>
      </c>
      <c r="D67" s="88" t="s">
        <v>168</v>
      </c>
    </row>
    <row r="68" spans="1:4" x14ac:dyDescent="0.35">
      <c r="A68" s="14">
        <v>67</v>
      </c>
      <c r="B68" s="23" t="s">
        <v>81</v>
      </c>
      <c r="C68" s="26" t="s">
        <v>169</v>
      </c>
      <c r="D68" s="88"/>
    </row>
    <row r="69" spans="1:4" x14ac:dyDescent="0.35">
      <c r="A69" s="14">
        <v>68</v>
      </c>
      <c r="B69" s="23" t="s">
        <v>170</v>
      </c>
      <c r="C69" s="23" t="s">
        <v>171</v>
      </c>
      <c r="D69" s="88"/>
    </row>
    <row r="70" spans="1:4" x14ac:dyDescent="0.35">
      <c r="A70" s="14">
        <v>69</v>
      </c>
      <c r="B70" s="23" t="s">
        <v>82</v>
      </c>
      <c r="C70" s="26" t="s">
        <v>172</v>
      </c>
      <c r="D70" s="88"/>
    </row>
    <row r="71" spans="1:4" x14ac:dyDescent="0.35">
      <c r="A71" s="14">
        <v>70</v>
      </c>
      <c r="B71" s="23" t="s">
        <v>173</v>
      </c>
      <c r="C71" s="23" t="s">
        <v>174</v>
      </c>
      <c r="D71" s="88"/>
    </row>
    <row r="72" spans="1:4" x14ac:dyDescent="0.35">
      <c r="A72" s="14">
        <v>71</v>
      </c>
      <c r="B72" s="23" t="s">
        <v>83</v>
      </c>
      <c r="C72" s="26" t="s">
        <v>175</v>
      </c>
      <c r="D72" s="88"/>
    </row>
    <row r="73" spans="1:4" x14ac:dyDescent="0.35">
      <c r="A73" s="14">
        <v>72</v>
      </c>
      <c r="B73" s="23" t="s">
        <v>176</v>
      </c>
      <c r="C73" s="23" t="s">
        <v>177</v>
      </c>
      <c r="D73" s="88"/>
    </row>
    <row r="74" spans="1:4" x14ac:dyDescent="0.35">
      <c r="A74" s="14">
        <v>73</v>
      </c>
      <c r="B74" s="23" t="s">
        <v>84</v>
      </c>
      <c r="C74" s="26" t="s">
        <v>178</v>
      </c>
      <c r="D74" s="88"/>
    </row>
    <row r="75" spans="1:4" x14ac:dyDescent="0.35">
      <c r="A75" s="14">
        <v>74</v>
      </c>
      <c r="B75" s="23" t="s">
        <v>179</v>
      </c>
      <c r="C75" s="23" t="s">
        <v>180</v>
      </c>
      <c r="D75" s="88"/>
    </row>
    <row r="76" spans="1:4" x14ac:dyDescent="0.35">
      <c r="A76" s="14">
        <v>75</v>
      </c>
      <c r="B76" s="23" t="s">
        <v>85</v>
      </c>
      <c r="C76" s="26" t="s">
        <v>181</v>
      </c>
      <c r="D76" s="88"/>
    </row>
    <row r="77" spans="1:4" x14ac:dyDescent="0.35">
      <c r="A77" s="14">
        <v>76</v>
      </c>
      <c r="B77" s="23" t="s">
        <v>182</v>
      </c>
      <c r="C77" s="23" t="s">
        <v>183</v>
      </c>
      <c r="D77" s="88"/>
    </row>
    <row r="78" spans="1:4" x14ac:dyDescent="0.35">
      <c r="A78" s="14">
        <v>77</v>
      </c>
      <c r="B78" s="23" t="s">
        <v>86</v>
      </c>
      <c r="C78" s="26" t="s">
        <v>184</v>
      </c>
      <c r="D78" s="88"/>
    </row>
    <row r="79" spans="1:4" x14ac:dyDescent="0.35">
      <c r="A79" s="14">
        <v>78</v>
      </c>
      <c r="B79" s="23" t="s">
        <v>185</v>
      </c>
      <c r="C79" s="23" t="s">
        <v>186</v>
      </c>
      <c r="D79" s="88"/>
    </row>
    <row r="80" spans="1:4" x14ac:dyDescent="0.35">
      <c r="A80" s="14">
        <v>79</v>
      </c>
      <c r="B80" s="23" t="s">
        <v>187</v>
      </c>
      <c r="C80" s="23" t="s">
        <v>188</v>
      </c>
      <c r="D80" s="88"/>
    </row>
    <row r="81" spans="1:4" x14ac:dyDescent="0.35">
      <c r="A81" s="14">
        <v>80</v>
      </c>
      <c r="B81" s="23" t="s">
        <v>189</v>
      </c>
      <c r="C81" s="23" t="s">
        <v>190</v>
      </c>
      <c r="D81" s="88"/>
    </row>
    <row r="82" spans="1:4" x14ac:dyDescent="0.35">
      <c r="A82" s="14">
        <v>81</v>
      </c>
      <c r="B82" s="23" t="s">
        <v>191</v>
      </c>
      <c r="C82" s="23" t="s">
        <v>192</v>
      </c>
      <c r="D82" s="88"/>
    </row>
    <row r="83" spans="1:4" x14ac:dyDescent="0.35">
      <c r="A83" s="14">
        <v>82</v>
      </c>
      <c r="B83" s="23" t="s">
        <v>193</v>
      </c>
      <c r="C83" s="23" t="s">
        <v>194</v>
      </c>
      <c r="D83" s="88"/>
    </row>
    <row r="84" spans="1:4" x14ac:dyDescent="0.35">
      <c r="A84" s="14">
        <v>83</v>
      </c>
      <c r="B84" s="23" t="s">
        <v>195</v>
      </c>
      <c r="C84" s="23" t="s">
        <v>196</v>
      </c>
      <c r="D84" s="88"/>
    </row>
    <row r="85" spans="1:4" x14ac:dyDescent="0.35">
      <c r="A85" s="14">
        <v>84</v>
      </c>
      <c r="B85" s="23" t="s">
        <v>197</v>
      </c>
      <c r="C85" s="23" t="s">
        <v>198</v>
      </c>
      <c r="D85" s="88"/>
    </row>
    <row r="86" spans="1:4" x14ac:dyDescent="0.35">
      <c r="A86" s="14">
        <v>85</v>
      </c>
      <c r="B86" s="23" t="s">
        <v>199</v>
      </c>
      <c r="C86" s="23" t="s">
        <v>200</v>
      </c>
      <c r="D86" s="88"/>
    </row>
    <row r="87" spans="1:4" x14ac:dyDescent="0.35">
      <c r="A87" s="14">
        <v>86</v>
      </c>
      <c r="B87" s="23" t="s">
        <v>201</v>
      </c>
      <c r="C87" s="23" t="s">
        <v>202</v>
      </c>
      <c r="D87" s="88"/>
    </row>
    <row r="88" spans="1:4" x14ac:dyDescent="0.35">
      <c r="A88" s="14">
        <v>87</v>
      </c>
      <c r="B88" s="23" t="s">
        <v>203</v>
      </c>
      <c r="C88" s="23" t="s">
        <v>204</v>
      </c>
      <c r="D88" s="88"/>
    </row>
    <row r="89" spans="1:4" x14ac:dyDescent="0.35">
      <c r="A89" s="14">
        <v>88</v>
      </c>
      <c r="B89" s="23" t="s">
        <v>205</v>
      </c>
      <c r="C89" s="23" t="s">
        <v>206</v>
      </c>
      <c r="D89" s="88"/>
    </row>
    <row r="90" spans="1:4" x14ac:dyDescent="0.35">
      <c r="A90" s="14">
        <v>89</v>
      </c>
      <c r="B90" s="23" t="s">
        <v>207</v>
      </c>
      <c r="C90" s="23" t="s">
        <v>208</v>
      </c>
      <c r="D90" s="88"/>
    </row>
    <row r="91" spans="1:4" x14ac:dyDescent="0.35">
      <c r="A91" s="14">
        <v>90</v>
      </c>
      <c r="B91" s="23" t="s">
        <v>209</v>
      </c>
      <c r="C91" s="23" t="s">
        <v>210</v>
      </c>
      <c r="D91" s="88"/>
    </row>
    <row r="92" spans="1:4" x14ac:dyDescent="0.35">
      <c r="A92" s="14">
        <v>91</v>
      </c>
      <c r="B92" s="23" t="s">
        <v>87</v>
      </c>
      <c r="C92" s="26" t="s">
        <v>211</v>
      </c>
      <c r="D92" s="88"/>
    </row>
    <row r="93" spans="1:4" x14ac:dyDescent="0.35">
      <c r="A93" s="14">
        <v>92</v>
      </c>
      <c r="B93" s="23" t="s">
        <v>212</v>
      </c>
      <c r="C93" s="23" t="s">
        <v>213</v>
      </c>
      <c r="D93" s="88"/>
    </row>
    <row r="94" spans="1:4" x14ac:dyDescent="0.35">
      <c r="A94" s="14">
        <v>93</v>
      </c>
      <c r="B94" s="23" t="s">
        <v>88</v>
      </c>
      <c r="C94" s="26" t="s">
        <v>214</v>
      </c>
      <c r="D94" s="88"/>
    </row>
    <row r="95" spans="1:4" x14ac:dyDescent="0.35">
      <c r="A95" s="14">
        <v>94</v>
      </c>
      <c r="B95" s="23" t="s">
        <v>215</v>
      </c>
      <c r="C95" s="23" t="s">
        <v>216</v>
      </c>
      <c r="D95" s="88" t="s">
        <v>217</v>
      </c>
    </row>
    <row r="96" spans="1:4" x14ac:dyDescent="0.35">
      <c r="A96" s="14">
        <v>95</v>
      </c>
      <c r="B96" s="23" t="s">
        <v>89</v>
      </c>
      <c r="C96" s="27" t="s">
        <v>218</v>
      </c>
      <c r="D96" s="88"/>
    </row>
    <row r="97" spans="1:4" x14ac:dyDescent="0.35">
      <c r="A97" s="14">
        <v>96</v>
      </c>
      <c r="B97" s="23" t="s">
        <v>90</v>
      </c>
      <c r="C97" s="27" t="s">
        <v>219</v>
      </c>
      <c r="D97" s="88"/>
    </row>
    <row r="98" spans="1:4" x14ac:dyDescent="0.35">
      <c r="A98" s="14">
        <v>97</v>
      </c>
      <c r="B98" s="23" t="s">
        <v>220</v>
      </c>
      <c r="C98" s="23" t="s">
        <v>221</v>
      </c>
      <c r="D98" s="88"/>
    </row>
    <row r="99" spans="1:4" x14ac:dyDescent="0.35">
      <c r="A99" s="14">
        <v>98</v>
      </c>
      <c r="B99" s="23" t="s">
        <v>91</v>
      </c>
      <c r="C99" s="27" t="s">
        <v>222</v>
      </c>
      <c r="D99" s="88"/>
    </row>
    <row r="100" spans="1:4" x14ac:dyDescent="0.35">
      <c r="A100" s="14">
        <v>99</v>
      </c>
      <c r="B100" s="23" t="s">
        <v>223</v>
      </c>
      <c r="C100" s="23" t="s">
        <v>224</v>
      </c>
      <c r="D100" s="88"/>
    </row>
    <row r="101" spans="1:4" x14ac:dyDescent="0.35">
      <c r="A101" s="14">
        <v>100</v>
      </c>
      <c r="B101" s="23" t="s">
        <v>92</v>
      </c>
      <c r="C101" s="27" t="s">
        <v>225</v>
      </c>
      <c r="D101" s="88"/>
    </row>
    <row r="102" spans="1:4" x14ac:dyDescent="0.35">
      <c r="A102" s="14">
        <v>101</v>
      </c>
      <c r="B102" s="23" t="s">
        <v>226</v>
      </c>
      <c r="C102" s="23" t="s">
        <v>227</v>
      </c>
      <c r="D102" s="88"/>
    </row>
    <row r="103" spans="1:4" x14ac:dyDescent="0.35">
      <c r="A103" s="14">
        <v>102</v>
      </c>
      <c r="B103" s="23" t="s">
        <v>93</v>
      </c>
      <c r="C103" s="27" t="s">
        <v>228</v>
      </c>
      <c r="D103" s="88"/>
    </row>
    <row r="104" spans="1:4" x14ac:dyDescent="0.35">
      <c r="A104" s="14">
        <v>103</v>
      </c>
      <c r="B104" s="23" t="s">
        <v>229</v>
      </c>
      <c r="C104" s="23" t="s">
        <v>230</v>
      </c>
      <c r="D104" s="88"/>
    </row>
    <row r="105" spans="1:4" x14ac:dyDescent="0.35">
      <c r="A105" s="14">
        <v>104</v>
      </c>
      <c r="B105" s="23" t="s">
        <v>231</v>
      </c>
      <c r="C105" s="28" t="s">
        <v>232</v>
      </c>
      <c r="D105" s="88"/>
    </row>
    <row r="106" spans="1:4" x14ac:dyDescent="0.35">
      <c r="A106" s="14">
        <v>105</v>
      </c>
      <c r="B106" s="23" t="s">
        <v>233</v>
      </c>
      <c r="C106" s="23" t="s">
        <v>234</v>
      </c>
      <c r="D106" s="88"/>
    </row>
    <row r="107" spans="1:4" x14ac:dyDescent="0.35">
      <c r="A107" s="14">
        <v>106</v>
      </c>
      <c r="B107" s="23" t="s">
        <v>235</v>
      </c>
      <c r="C107" s="23" t="s">
        <v>236</v>
      </c>
      <c r="D107" s="88"/>
    </row>
    <row r="108" spans="1:4" x14ac:dyDescent="0.35">
      <c r="A108" s="14">
        <v>107</v>
      </c>
      <c r="B108" s="23" t="s">
        <v>237</v>
      </c>
      <c r="C108" s="23" t="s">
        <v>238</v>
      </c>
      <c r="D108" s="88"/>
    </row>
    <row r="109" spans="1:4" x14ac:dyDescent="0.35">
      <c r="A109" s="14">
        <v>108</v>
      </c>
      <c r="B109" s="23" t="s">
        <v>239</v>
      </c>
      <c r="C109" s="23" t="s">
        <v>240</v>
      </c>
      <c r="D109" s="88"/>
    </row>
    <row r="110" spans="1:4" x14ac:dyDescent="0.35">
      <c r="A110" s="14">
        <v>109</v>
      </c>
      <c r="B110" s="23" t="s">
        <v>241</v>
      </c>
      <c r="C110" s="23" t="s">
        <v>242</v>
      </c>
      <c r="D110" s="88"/>
    </row>
    <row r="111" spans="1:4" x14ac:dyDescent="0.35">
      <c r="A111" s="14">
        <v>110</v>
      </c>
      <c r="B111" s="23" t="s">
        <v>243</v>
      </c>
      <c r="C111" s="23" t="s">
        <v>244</v>
      </c>
      <c r="D111" s="88"/>
    </row>
    <row r="112" spans="1:4" x14ac:dyDescent="0.35">
      <c r="A112" s="14">
        <v>111</v>
      </c>
      <c r="B112" s="23" t="s">
        <v>245</v>
      </c>
      <c r="C112" s="23" t="s">
        <v>246</v>
      </c>
      <c r="D112" s="88"/>
    </row>
    <row r="113" spans="1:4" x14ac:dyDescent="0.35">
      <c r="A113" s="14">
        <v>112</v>
      </c>
      <c r="B113" s="23" t="s">
        <v>247</v>
      </c>
      <c r="C113" s="23" t="s">
        <v>248</v>
      </c>
      <c r="D113" s="88"/>
    </row>
    <row r="114" spans="1:4" x14ac:dyDescent="0.35">
      <c r="A114" s="14">
        <v>113</v>
      </c>
      <c r="B114" s="23" t="s">
        <v>249</v>
      </c>
      <c r="C114" s="23" t="s">
        <v>250</v>
      </c>
      <c r="D114" s="88"/>
    </row>
    <row r="115" spans="1:4" x14ac:dyDescent="0.35">
      <c r="A115" s="14">
        <v>114</v>
      </c>
      <c r="B115" s="23" t="s">
        <v>94</v>
      </c>
      <c r="C115" s="29" t="s">
        <v>251</v>
      </c>
      <c r="D115" s="88" t="s">
        <v>252</v>
      </c>
    </row>
    <row r="116" spans="1:4" x14ac:dyDescent="0.35">
      <c r="A116" s="14">
        <v>115</v>
      </c>
      <c r="B116" s="23" t="s">
        <v>253</v>
      </c>
      <c r="C116" s="23" t="s">
        <v>232</v>
      </c>
      <c r="D116" s="88"/>
    </row>
    <row r="117" spans="1:4" x14ac:dyDescent="0.35">
      <c r="A117" s="14">
        <v>116</v>
      </c>
      <c r="B117" s="23" t="s">
        <v>254</v>
      </c>
      <c r="C117" s="23" t="s">
        <v>255</v>
      </c>
      <c r="D117" s="88"/>
    </row>
    <row r="118" spans="1:4" x14ac:dyDescent="0.35">
      <c r="A118" s="14">
        <v>117</v>
      </c>
      <c r="B118" s="23" t="s">
        <v>95</v>
      </c>
      <c r="C118" s="29" t="s">
        <v>256</v>
      </c>
      <c r="D118" s="88"/>
    </row>
    <row r="119" spans="1:4" x14ac:dyDescent="0.35">
      <c r="A119" s="14">
        <v>118</v>
      </c>
      <c r="B119" s="23" t="s">
        <v>96</v>
      </c>
      <c r="C119" s="29" t="s">
        <v>257</v>
      </c>
      <c r="D119" s="88"/>
    </row>
    <row r="120" spans="1:4" x14ac:dyDescent="0.35">
      <c r="A120" s="14">
        <v>119</v>
      </c>
      <c r="B120" s="23" t="s">
        <v>97</v>
      </c>
      <c r="C120" s="29" t="s">
        <v>258</v>
      </c>
      <c r="D120" s="88"/>
    </row>
    <row r="121" spans="1:4" x14ac:dyDescent="0.35">
      <c r="A121" s="14">
        <v>120</v>
      </c>
      <c r="B121" s="23" t="s">
        <v>98</v>
      </c>
      <c r="C121" s="29" t="s">
        <v>251</v>
      </c>
      <c r="D121" s="88"/>
    </row>
    <row r="122" spans="1:4" x14ac:dyDescent="0.35">
      <c r="A122" s="14">
        <v>121</v>
      </c>
      <c r="B122" s="23" t="s">
        <v>99</v>
      </c>
      <c r="C122" s="29" t="s">
        <v>259</v>
      </c>
      <c r="D122" s="88"/>
    </row>
    <row r="123" spans="1:4" x14ac:dyDescent="0.35">
      <c r="A123" s="14">
        <v>122</v>
      </c>
      <c r="B123" s="23" t="s">
        <v>100</v>
      </c>
      <c r="C123" s="29" t="s">
        <v>260</v>
      </c>
      <c r="D123" s="88"/>
    </row>
    <row r="124" spans="1:4" x14ac:dyDescent="0.35">
      <c r="A124" s="14">
        <v>123</v>
      </c>
      <c r="B124" s="23" t="s">
        <v>261</v>
      </c>
      <c r="C124" s="23" t="s">
        <v>262</v>
      </c>
      <c r="D124" s="88"/>
    </row>
    <row r="125" spans="1:4" x14ac:dyDescent="0.35">
      <c r="A125" s="14">
        <v>124</v>
      </c>
      <c r="B125" s="23" t="s">
        <v>101</v>
      </c>
      <c r="C125" s="29" t="s">
        <v>263</v>
      </c>
      <c r="D125" s="88"/>
    </row>
  </sheetData>
  <mergeCells count="7">
    <mergeCell ref="D115:D125"/>
    <mergeCell ref="D2:D10"/>
    <mergeCell ref="D19:D37"/>
    <mergeCell ref="D38:D55"/>
    <mergeCell ref="D58:D66"/>
    <mergeCell ref="D67:D94"/>
    <mergeCell ref="D95:D114"/>
  </mergeCells>
  <pageMargins left="0.7" right="0.7" top="0.75" bottom="0.75" header="0.3" footer="0.3"/>
  <headerFooter>
    <oddFooter>&amp;L_x000D_&amp;1#&amp;"Aptos"&amp;10&amp;K000000 St. Jude - Confidential</oddFooter>
  </headerFooter>
</worksheet>
</file>

<file path=docMetadata/LabelInfo.xml><?xml version="1.0" encoding="utf-8"?>
<clbl:labelList xmlns:clbl="http://schemas.microsoft.com/office/2020/mipLabelMetadata">
  <clbl:label id="{65ce1208-e929-4ec4-be64-9138d78922c0}" enabled="1" method="Standard" siteId="{22340fa8-9226-4871-b677-d3b3e377af7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GreenSpace</vt:lpstr>
      <vt:lpstr>Pollution</vt:lpstr>
      <vt:lpstr>COI</vt:lpstr>
      <vt:lpstr>Population</vt:lpstr>
      <vt:lpstr>Gender</vt:lpstr>
      <vt:lpstr>Agegrp (2)</vt:lpstr>
      <vt:lpstr>AgeGrp</vt:lpstr>
      <vt:lpstr>Data 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Shaikh, Nazneen Kaleem</dc:creator>
  <cp:lastModifiedBy>Shaikh, Nazneen Kaleem</cp:lastModifiedBy>
  <dcterms:created xsi:type="dcterms:W3CDTF">2026-09-11T17:16:25Z</dcterms:created>
  <dcterms:modified xsi:type="dcterms:W3CDTF">2026-09-18T19:02:54Z</dcterms:modified>
</cp:coreProperties>
</file>